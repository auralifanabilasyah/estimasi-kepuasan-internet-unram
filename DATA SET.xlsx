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abel\"/>
    </mc:Choice>
  </mc:AlternateContent>
  <xr:revisionPtr revIDLastSave="0" documentId="8_{46BB04F9-0E30-47A9-B6CA-B545490D0269}" xr6:coauthVersionLast="47" xr6:coauthVersionMax="47" xr10:uidLastSave="{00000000-0000-0000-0000-000000000000}"/>
  <bookViews>
    <workbookView xWindow="-96" yWindow="0" windowWidth="11712" windowHeight="13776" firstSheet="3" activeTab="3" xr2:uid="{00000000-000D-0000-FFFF-FFFF00000000}"/>
  </bookViews>
  <sheets>
    <sheet name="RANDOM KELAS" sheetId="2" r:id="rId1"/>
    <sheet name="MAHASISWA 24 A DAN 25 B" sheetId="3" r:id="rId2"/>
    <sheet name="RANDOM 24 A" sheetId="4" r:id="rId3"/>
    <sheet name="RANDOM 25 B" sheetId="5" r:id="rId4"/>
    <sheet name="Sheet1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" i="6" l="1"/>
  <c r="X14" i="6"/>
  <c r="X13" i="6"/>
  <c r="X12" i="6"/>
  <c r="X11" i="6"/>
  <c r="X10" i="6"/>
  <c r="Y2" i="6"/>
  <c r="X2" i="6"/>
  <c r="T30" i="6"/>
  <c r="T31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2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2" i="6"/>
  <c r="D28" i="5"/>
  <c r="D12" i="5"/>
  <c r="D32" i="5"/>
  <c r="D31" i="5"/>
  <c r="D9" i="5"/>
  <c r="D2" i="5"/>
  <c r="D30" i="5"/>
  <c r="D16" i="5"/>
  <c r="D5" i="5"/>
  <c r="D18" i="5"/>
  <c r="D22" i="5"/>
  <c r="D19" i="5"/>
  <c r="D20" i="5"/>
  <c r="D3" i="5"/>
  <c r="D21" i="5"/>
  <c r="D8" i="5"/>
  <c r="D10" i="5"/>
  <c r="D13" i="5"/>
  <c r="D25" i="5"/>
  <c r="D14" i="5"/>
  <c r="D4" i="5"/>
  <c r="D27" i="5"/>
  <c r="D15" i="5"/>
  <c r="D7" i="5"/>
  <c r="D11" i="5"/>
  <c r="D26" i="5"/>
  <c r="D17" i="5"/>
  <c r="D6" i="5"/>
  <c r="D29" i="5"/>
  <c r="D23" i="5"/>
  <c r="D24" i="5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C2" i="2"/>
  <c r="C7" i="2"/>
  <c r="C6" i="2"/>
  <c r="C3" i="2"/>
  <c r="C5" i="2"/>
  <c r="C4" i="2"/>
</calcChain>
</file>

<file path=xl/sharedStrings.xml><?xml version="1.0" encoding="utf-8"?>
<sst xmlns="http://schemas.openxmlformats.org/spreadsheetml/2006/main" count="461" uniqueCount="182">
  <si>
    <t>NIM</t>
  </si>
  <si>
    <t>Nama Mahasiswa</t>
  </si>
  <si>
    <t>Kelas</t>
  </si>
  <si>
    <t>G1F02410001</t>
  </si>
  <si>
    <t>ALIATUL JANNAH</t>
  </si>
  <si>
    <t>A</t>
  </si>
  <si>
    <t>B</t>
  </si>
  <si>
    <t>G1F02410003</t>
  </si>
  <si>
    <t>COKORDE PUTRI DIANA DEWI A</t>
  </si>
  <si>
    <t>G1F02410005</t>
  </si>
  <si>
    <t>NI PUTU SUCI UTAMI</t>
  </si>
  <si>
    <t>G1F02410007</t>
  </si>
  <si>
    <t>RISMA KHAIRUNNISA</t>
  </si>
  <si>
    <t>G1F02410009</t>
  </si>
  <si>
    <t>TIKA AULIA</t>
  </si>
  <si>
    <t>G1F02410011</t>
  </si>
  <si>
    <t>ZAHRA AURELIA ANSYANI</t>
  </si>
  <si>
    <t>G1F02410013</t>
  </si>
  <si>
    <t>ABYAN ARKAN MAULANA</t>
  </si>
  <si>
    <t>G1F02410015</t>
  </si>
  <si>
    <t>AMELIA DEWI SARTIKA</t>
  </si>
  <si>
    <t>G1F02410017</t>
  </si>
  <si>
    <t>AZIYYATI NIRMALA PUTRI</t>
  </si>
  <si>
    <t>G1F02410019</t>
  </si>
  <si>
    <t>BAIQ NAYLA WULANDA ARDIYANTI</t>
  </si>
  <si>
    <t>G1F02410023</t>
  </si>
  <si>
    <t>ERA FAZIRA</t>
  </si>
  <si>
    <t>G1F02410025</t>
  </si>
  <si>
    <t>JIHAN AFIFAH</t>
  </si>
  <si>
    <t>G1F02410027</t>
  </si>
  <si>
    <t>LAULA FAOKANA</t>
  </si>
  <si>
    <t>G1F02410029</t>
  </si>
  <si>
    <t>MEYLISA AZZAHRA</t>
  </si>
  <si>
    <t>G1F02410033</t>
  </si>
  <si>
    <t>NICORI RESTU WARDAH</t>
  </si>
  <si>
    <t>G1F02410035</t>
  </si>
  <si>
    <t>SITI LIZATUL IBADAH</t>
  </si>
  <si>
    <t>G1F02410039</t>
  </si>
  <si>
    <t>VENA ASMARINDA</t>
  </si>
  <si>
    <t>G1F02410041</t>
  </si>
  <si>
    <t>AURA ALIFA NABILA SYAH</t>
  </si>
  <si>
    <t>G1F02410045</t>
  </si>
  <si>
    <t>HILWA DEA CENDRA HEARTY</t>
  </si>
  <si>
    <t>G1F02410049</t>
  </si>
  <si>
    <t>NATASYA AINUN NAJWA</t>
  </si>
  <si>
    <t>G1F02410051</t>
  </si>
  <si>
    <t>NI PUTU ADELINA DEVANI MAHARANI</t>
  </si>
  <si>
    <t>G1F02410055</t>
  </si>
  <si>
    <t>YANI OFA SALIKA</t>
  </si>
  <si>
    <t>G1F02410058</t>
  </si>
  <si>
    <t>NURLINDA SURYANI</t>
  </si>
  <si>
    <t>G1F02410059</t>
  </si>
  <si>
    <t>MUHAMAD FAUJAN ANJAR ALMAHJI SENGAJI</t>
  </si>
  <si>
    <t>No</t>
  </si>
  <si>
    <t>2024 A</t>
  </si>
  <si>
    <t>2024 B</t>
  </si>
  <si>
    <t>2025 A</t>
  </si>
  <si>
    <t>2025 B</t>
  </si>
  <si>
    <t>kelas</t>
  </si>
  <si>
    <t>2023 A</t>
  </si>
  <si>
    <t xml:space="preserve">2023 B </t>
  </si>
  <si>
    <t>G1F02510002</t>
  </si>
  <si>
    <t>ERA ELIZA</t>
  </si>
  <si>
    <t>G1F02510004</t>
  </si>
  <si>
    <t>MILA</t>
  </si>
  <si>
    <t>G1F02510006</t>
  </si>
  <si>
    <t>NELA NUR ALIFA</t>
  </si>
  <si>
    <t>G1F02510008</t>
  </si>
  <si>
    <t>NUR FARADILA INSANIA</t>
  </si>
  <si>
    <t>G1F02510010</t>
  </si>
  <si>
    <t>NURVITA FEBRIANTI</t>
  </si>
  <si>
    <t>G1F02510012</t>
  </si>
  <si>
    <t>TANIA AMELIA SAPUTRI</t>
  </si>
  <si>
    <t>G1F02510014</t>
  </si>
  <si>
    <t>ALFANI CANTIKA</t>
  </si>
  <si>
    <t>G1F02510016</t>
  </si>
  <si>
    <t>BAIQ AISYA HERFANYA</t>
  </si>
  <si>
    <t>G1F02510018</t>
  </si>
  <si>
    <t>BAIQ FIRYA NURMALA</t>
  </si>
  <si>
    <t>G1F02510020</t>
  </si>
  <si>
    <t>CALISTA ASTI STEFANI</t>
  </si>
  <si>
    <t>G1F02510022</t>
  </si>
  <si>
    <t>DITHA NATASYA</t>
  </si>
  <si>
    <t>G1F02510024</t>
  </si>
  <si>
    <t>ELISA ZAHRA MANDYA PUTRI</t>
  </si>
  <si>
    <t>G1F02510026</t>
  </si>
  <si>
    <t>JEREMY FABIAN JEIS TIMBULONG</t>
  </si>
  <si>
    <t>G1F02510028</t>
  </si>
  <si>
    <t>LINA LATIFA</t>
  </si>
  <si>
    <t>G1F02510030</t>
  </si>
  <si>
    <t>MUHAMMAD FEBRIANSYAH</t>
  </si>
  <si>
    <t>G1F02510032</t>
  </si>
  <si>
    <t>NAJWA FATTIWARA. SF</t>
  </si>
  <si>
    <t>G1F02510034</t>
  </si>
  <si>
    <t>PUTU GUSVENDRA PUTRA KALMIWAN</t>
  </si>
  <si>
    <t>G1F02510036</t>
  </si>
  <si>
    <t>SAKINATURROSYIDA</t>
  </si>
  <si>
    <t>G1F02510038</t>
  </si>
  <si>
    <t>SITI MALIHAHTIL SHOLEHAH</t>
  </si>
  <si>
    <t>G1F02510040</t>
  </si>
  <si>
    <t>ZASKYANI AMALINA SABILA</t>
  </si>
  <si>
    <t>G1F02510042</t>
  </si>
  <si>
    <t>AULIYATUSSOLIHAH</t>
  </si>
  <si>
    <t>G1F02510044</t>
  </si>
  <si>
    <t>CORY AGUSTINA</t>
  </si>
  <si>
    <t>G1F02510046</t>
  </si>
  <si>
    <t>DAWID RAFAN RABBANI</t>
  </si>
  <si>
    <t>G1F02510048</t>
  </si>
  <si>
    <t>FIHA RAHMATIA</t>
  </si>
  <si>
    <t>G1F02510050</t>
  </si>
  <si>
    <t>HADYAN AZYADI</t>
  </si>
  <si>
    <t>G1F02510052</t>
  </si>
  <si>
    <t>HANNCE MARIO OCTOLIHANDRO PUTRA</t>
  </si>
  <si>
    <t>G1F02510054</t>
  </si>
  <si>
    <t>MAR'ATUL ISNAIN</t>
  </si>
  <si>
    <t>G1F02510056</t>
  </si>
  <si>
    <t>MUHAMMAD DIKA KURNIAWAN</t>
  </si>
  <si>
    <t>G1F02510058</t>
  </si>
  <si>
    <t>SHIBGATULLAH NAJIYA LABIBA</t>
  </si>
  <si>
    <t>G1F02510060</t>
  </si>
  <si>
    <t>WADA RIZKIYA</t>
  </si>
  <si>
    <t>G1F02510062</t>
  </si>
  <si>
    <t>AHMAD KAMAL KHAIRI</t>
  </si>
  <si>
    <t>STATISTIKA 24 A</t>
  </si>
  <si>
    <t xml:space="preserve">STATISTIKA 25 B </t>
  </si>
  <si>
    <t>NAMA LENGKAP</t>
  </si>
  <si>
    <t>ANGKATAN</t>
  </si>
  <si>
    <t>KELAS</t>
  </si>
  <si>
    <t>Saya puas dengan kecepatan koneksi internet (Wi-Fi) di lingkungan kampus.</t>
  </si>
  <si>
    <t>Saya puas dengan kestabilan koneksi internet selama digunakan untuk kegiatan perkuliahan.</t>
  </si>
  <si>
    <t>Saya puas dengan kemudahan mengakses jaringan Wi-Fi kampus.</t>
  </si>
  <si>
    <t>Saya puas dengan jangkauan sinyal Wi-Fi di dalam kelas.</t>
  </si>
  <si>
    <t>Saya puas dengan kecepatan internet saat mengunduh materi perkuliahan.</t>
  </si>
  <si>
    <t>Saya puas dengan kecepatan internet saat mengunggah tugas kuliah.</t>
  </si>
  <si>
    <t>Saya puas dengan kualitas koneksi internet saat mengakses SPADA atau SIA.</t>
  </si>
  <si>
    <t>Saya puas dengan kualitas koneksi internet saat digunakan untuk Zoom atau Google Meet.</t>
  </si>
  <si>
    <t>Saya puas dengan kualitas koneksi internet meskipun digunakan oleh banyak mahasiswa secara bersamaan.</t>
  </si>
  <si>
    <t>Saya puas karena koneksi internet jarang mengalami gangguan saat digunakan.</t>
  </si>
  <si>
    <t>Saya puas karena koneksi internet mendukung kegiatan belajar dan penyelesaian tugas kuliah.</t>
  </si>
  <si>
    <t>Secara keseluruhan, saya puas terhadap koneksi internet di lingkungan Program Studi Statistika Universitas Mataram.</t>
  </si>
  <si>
    <t>Tika aulia</t>
  </si>
  <si>
    <t>Siti Lizatul Ibadah</t>
  </si>
  <si>
    <t>Abyan Arkan Maulana</t>
  </si>
  <si>
    <t>Calista Asti Stefani</t>
  </si>
  <si>
    <t>Nela Nur Alifa</t>
  </si>
  <si>
    <t>Muhamad Faujan Anjar Almahji Sengaji</t>
  </si>
  <si>
    <t>Jihan Afifah</t>
  </si>
  <si>
    <t>Yani Ofa Salika</t>
  </si>
  <si>
    <t>Nurlinda suryani</t>
  </si>
  <si>
    <t>G1f02410058</t>
  </si>
  <si>
    <t>Baiq Firya Nurmala</t>
  </si>
  <si>
    <t>Meylisa Azzahra</t>
  </si>
  <si>
    <t>Laula Faokana</t>
  </si>
  <si>
    <t>Aziyyati Nirmala</t>
  </si>
  <si>
    <t>Vena Asmarinda</t>
  </si>
  <si>
    <t>Natasya Ainun Najwa</t>
  </si>
  <si>
    <t>Hadyan Azyadi</t>
  </si>
  <si>
    <t>Amelia Dewi Sartika</t>
  </si>
  <si>
    <t>Alfani Cantika</t>
  </si>
  <si>
    <t>Muhammad Febriansyah</t>
  </si>
  <si>
    <t>risma khairunnisa</t>
  </si>
  <si>
    <t>Shibgatullah Najiya Labiba</t>
  </si>
  <si>
    <t>siti malihahtil sholehah</t>
  </si>
  <si>
    <t>zahra aurelia ansyani</t>
  </si>
  <si>
    <t>Sakinaturrosyida</t>
  </si>
  <si>
    <t>auliyatussolihah</t>
  </si>
  <si>
    <t>fiha rahmatia</t>
  </si>
  <si>
    <t>cory agustin</t>
  </si>
  <si>
    <t>hannce mario octolihandro putra</t>
  </si>
  <si>
    <t>tania amelia saputri</t>
  </si>
  <si>
    <t>total skor</t>
  </si>
  <si>
    <t>rata rata</t>
  </si>
  <si>
    <t>kategori</t>
  </si>
  <si>
    <t>lower</t>
  </si>
  <si>
    <t>upper</t>
  </si>
  <si>
    <t>bobot</t>
  </si>
  <si>
    <t>skor Terbobot</t>
  </si>
  <si>
    <t>varians srs</t>
  </si>
  <si>
    <t>sd</t>
  </si>
  <si>
    <t>se</t>
  </si>
  <si>
    <t>rse</t>
  </si>
  <si>
    <t>deff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</si>
</sst>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FFFFFF"/>
      <name val="Roboto"/>
    </font>
    <font>
      <sz val="10"/>
      <color rgb="FF434343"/>
      <name val="Roboto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right" vertical="center" wrapText="1"/>
    </xf>
    <xf numFmtId="0" fontId="3" fillId="5" borderId="8" xfId="0" applyFont="1" applyFill="1" applyBorder="1" applyAlignment="1">
      <alignment horizontal="right" vertical="center" wrapText="1"/>
    </xf>
    <xf numFmtId="0" fontId="3" fillId="6" borderId="9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right" vertical="center" wrapText="1"/>
    </xf>
    <xf numFmtId="0" fontId="3" fillId="6" borderId="8" xfId="0" applyFont="1" applyFill="1" applyBorder="1" applyAlignment="1">
      <alignment horizontal="right" vertical="center" wrapText="1"/>
    </xf>
    <xf numFmtId="0" fontId="3" fillId="6" borderId="11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horizontal="right" vertical="center" wrapText="1"/>
    </xf>
    <xf numFmtId="0" fontId="3" fillId="6" borderId="13" xfId="0" applyFont="1" applyFill="1" applyBorder="1" applyAlignment="1">
      <alignment horizontal="right" vertical="center" wrapText="1"/>
    </xf>
    <xf numFmtId="0" fontId="4" fillId="0" borderId="0" xfId="0" applyFont="1"/>
    <xf numFmtId="0" fontId="2" fillId="4" borderId="14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  <xf numFmtId="0" fontId="4" fillId="3" borderId="0" xfId="0" applyFont="1" applyFill="1"/>
    <xf numFmtId="0" fontId="0" fillId="7" borderId="0" xfId="0" applyFill="1"/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5674-9B1B-472B-8338-DD59F6E889D6}">
  <dimension ref="A1:C7"/>
  <sheetViews>
    <sheetView workbookViewId="0">
      <selection activeCell="E5" sqref="E5"/>
    </sheetView>
  </sheetViews>
  <sheetFormatPr defaultRowHeight="14.4" x14ac:dyDescent="0.3"/>
  <sheetData>
    <row r="1" spans="1:3" x14ac:dyDescent="0.3">
      <c r="A1" s="2" t="s">
        <v>53</v>
      </c>
      <c r="B1" s="2" t="s">
        <v>58</v>
      </c>
    </row>
    <row r="2" spans="1:3" x14ac:dyDescent="0.3">
      <c r="A2" s="3">
        <v>6</v>
      </c>
      <c r="B2" t="s">
        <v>57</v>
      </c>
      <c r="C2">
        <f t="shared" ref="C2:C7" ca="1" si="0">RAND()</f>
        <v>0.64117866935729562</v>
      </c>
    </row>
    <row r="3" spans="1:3" x14ac:dyDescent="0.3">
      <c r="A3" s="3">
        <v>3</v>
      </c>
      <c r="B3" s="3" t="s">
        <v>54</v>
      </c>
      <c r="C3">
        <f t="shared" ca="1" si="0"/>
        <v>1.7145560678825555E-2</v>
      </c>
    </row>
    <row r="4" spans="1:3" x14ac:dyDescent="0.3">
      <c r="A4" s="3">
        <v>1</v>
      </c>
      <c r="B4" s="3" t="s">
        <v>59</v>
      </c>
      <c r="C4">
        <f t="shared" ca="1" si="0"/>
        <v>0.81153978457037301</v>
      </c>
    </row>
    <row r="5" spans="1:3" x14ac:dyDescent="0.3">
      <c r="A5" s="3">
        <v>2</v>
      </c>
      <c r="B5" s="3" t="s">
        <v>60</v>
      </c>
      <c r="C5">
        <f t="shared" ca="1" si="0"/>
        <v>0.96685130946872921</v>
      </c>
    </row>
    <row r="6" spans="1:3" x14ac:dyDescent="0.3">
      <c r="A6" s="3">
        <v>4</v>
      </c>
      <c r="B6" s="3" t="s">
        <v>55</v>
      </c>
      <c r="C6">
        <f t="shared" ca="1" si="0"/>
        <v>0.63484744419364025</v>
      </c>
    </row>
    <row r="7" spans="1:3" x14ac:dyDescent="0.3">
      <c r="A7" s="3">
        <v>5</v>
      </c>
      <c r="B7" t="s">
        <v>56</v>
      </c>
      <c r="C7">
        <f t="shared" ca="1" si="0"/>
        <v>0.53102472124655065</v>
      </c>
    </row>
  </sheetData>
  <sortState xmlns:xlrd2="http://schemas.microsoft.com/office/spreadsheetml/2017/richdata2" ref="A2:C7">
    <sortCondition ref="C2:C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40E1-CABA-46FB-B720-B579CDD7C08F}">
  <dimension ref="A1:D56"/>
  <sheetViews>
    <sheetView topLeftCell="A28" workbookViewId="0">
      <selection activeCell="A26" sqref="A26:C56"/>
    </sheetView>
  </sheetViews>
  <sheetFormatPr defaultRowHeight="14.4" x14ac:dyDescent="0.3"/>
  <cols>
    <col min="1" max="1" width="20.88671875" customWidth="1"/>
    <col min="2" max="2" width="23.109375" customWidth="1"/>
    <col min="3" max="3" width="16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/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7</v>
      </c>
      <c r="B3" t="s">
        <v>8</v>
      </c>
      <c r="C3" t="s">
        <v>5</v>
      </c>
    </row>
    <row r="4" spans="1:4" x14ac:dyDescent="0.3">
      <c r="A4" t="s">
        <v>9</v>
      </c>
      <c r="B4" t="s">
        <v>10</v>
      </c>
      <c r="C4" t="s">
        <v>5</v>
      </c>
    </row>
    <row r="5" spans="1:4" x14ac:dyDescent="0.3">
      <c r="A5" t="s">
        <v>11</v>
      </c>
      <c r="B5" t="s">
        <v>12</v>
      </c>
      <c r="C5" t="s">
        <v>5</v>
      </c>
    </row>
    <row r="6" spans="1:4" x14ac:dyDescent="0.3">
      <c r="A6" t="s">
        <v>13</v>
      </c>
      <c r="B6" t="s">
        <v>14</v>
      </c>
      <c r="C6" t="s">
        <v>5</v>
      </c>
    </row>
    <row r="7" spans="1:4" x14ac:dyDescent="0.3">
      <c r="A7" t="s">
        <v>15</v>
      </c>
      <c r="B7" t="s">
        <v>16</v>
      </c>
      <c r="C7" t="s">
        <v>5</v>
      </c>
    </row>
    <row r="8" spans="1:4" x14ac:dyDescent="0.3">
      <c r="A8" t="s">
        <v>17</v>
      </c>
      <c r="B8" t="s">
        <v>18</v>
      </c>
      <c r="C8" t="s">
        <v>5</v>
      </c>
    </row>
    <row r="9" spans="1:4" x14ac:dyDescent="0.3">
      <c r="A9" t="s">
        <v>19</v>
      </c>
      <c r="B9" t="s">
        <v>20</v>
      </c>
      <c r="C9" t="s">
        <v>5</v>
      </c>
    </row>
    <row r="10" spans="1:4" x14ac:dyDescent="0.3">
      <c r="A10" t="s">
        <v>21</v>
      </c>
      <c r="B10" t="s">
        <v>22</v>
      </c>
      <c r="C10" t="s">
        <v>5</v>
      </c>
    </row>
    <row r="11" spans="1:4" x14ac:dyDescent="0.3">
      <c r="A11" t="s">
        <v>23</v>
      </c>
      <c r="B11" t="s">
        <v>24</v>
      </c>
      <c r="C11" t="s">
        <v>5</v>
      </c>
    </row>
    <row r="12" spans="1:4" x14ac:dyDescent="0.3">
      <c r="A12" t="s">
        <v>25</v>
      </c>
      <c r="B12" t="s">
        <v>26</v>
      </c>
      <c r="C12" t="s">
        <v>5</v>
      </c>
    </row>
    <row r="13" spans="1:4" x14ac:dyDescent="0.3">
      <c r="A13" t="s">
        <v>27</v>
      </c>
      <c r="B13" t="s">
        <v>28</v>
      </c>
      <c r="C13" t="s">
        <v>5</v>
      </c>
    </row>
    <row r="14" spans="1:4" x14ac:dyDescent="0.3">
      <c r="A14" t="s">
        <v>29</v>
      </c>
      <c r="B14" t="s">
        <v>30</v>
      </c>
      <c r="C14" t="s">
        <v>5</v>
      </c>
    </row>
    <row r="15" spans="1:4" x14ac:dyDescent="0.3">
      <c r="A15" t="s">
        <v>31</v>
      </c>
      <c r="B15" t="s">
        <v>32</v>
      </c>
      <c r="C15" t="s">
        <v>5</v>
      </c>
    </row>
    <row r="16" spans="1:4" x14ac:dyDescent="0.3">
      <c r="A16" t="s">
        <v>33</v>
      </c>
      <c r="B16" t="s">
        <v>34</v>
      </c>
      <c r="C16" t="s">
        <v>5</v>
      </c>
    </row>
    <row r="17" spans="1:3" x14ac:dyDescent="0.3">
      <c r="A17" t="s">
        <v>35</v>
      </c>
      <c r="B17" t="s">
        <v>36</v>
      </c>
      <c r="C17" t="s">
        <v>5</v>
      </c>
    </row>
    <row r="18" spans="1:3" x14ac:dyDescent="0.3">
      <c r="A18" t="s">
        <v>37</v>
      </c>
      <c r="B18" t="s">
        <v>38</v>
      </c>
      <c r="C18" t="s">
        <v>5</v>
      </c>
    </row>
    <row r="19" spans="1:3" x14ac:dyDescent="0.3">
      <c r="A19" t="s">
        <v>39</v>
      </c>
      <c r="B19" t="s">
        <v>40</v>
      </c>
      <c r="C19" t="s">
        <v>5</v>
      </c>
    </row>
    <row r="20" spans="1:3" x14ac:dyDescent="0.3">
      <c r="A20" t="s">
        <v>41</v>
      </c>
      <c r="B20" t="s">
        <v>42</v>
      </c>
      <c r="C20" t="s">
        <v>5</v>
      </c>
    </row>
    <row r="21" spans="1:3" x14ac:dyDescent="0.3">
      <c r="A21" t="s">
        <v>43</v>
      </c>
      <c r="B21" t="s">
        <v>44</v>
      </c>
      <c r="C21" t="s">
        <v>5</v>
      </c>
    </row>
    <row r="22" spans="1:3" x14ac:dyDescent="0.3">
      <c r="A22" t="s">
        <v>45</v>
      </c>
      <c r="B22" t="s">
        <v>46</v>
      </c>
      <c r="C22" t="s">
        <v>5</v>
      </c>
    </row>
    <row r="23" spans="1:3" x14ac:dyDescent="0.3">
      <c r="A23" t="s">
        <v>47</v>
      </c>
      <c r="B23" t="s">
        <v>48</v>
      </c>
      <c r="C23" t="s">
        <v>5</v>
      </c>
    </row>
    <row r="24" spans="1:3" x14ac:dyDescent="0.3">
      <c r="A24" t="s">
        <v>49</v>
      </c>
      <c r="B24" t="s">
        <v>50</v>
      </c>
      <c r="C24" t="s">
        <v>5</v>
      </c>
    </row>
    <row r="25" spans="1:3" x14ac:dyDescent="0.3">
      <c r="A25" t="s">
        <v>51</v>
      </c>
      <c r="B25" t="s">
        <v>52</v>
      </c>
      <c r="C25" t="s">
        <v>5</v>
      </c>
    </row>
    <row r="26" spans="1:3" x14ac:dyDescent="0.3">
      <c r="A26" t="s">
        <v>61</v>
      </c>
      <c r="B26" t="s">
        <v>62</v>
      </c>
      <c r="C26" t="s">
        <v>6</v>
      </c>
    </row>
    <row r="27" spans="1:3" x14ac:dyDescent="0.3">
      <c r="A27" t="s">
        <v>63</v>
      </c>
      <c r="B27" t="s">
        <v>64</v>
      </c>
      <c r="C27" t="s">
        <v>6</v>
      </c>
    </row>
    <row r="28" spans="1:3" x14ac:dyDescent="0.3">
      <c r="A28" t="s">
        <v>65</v>
      </c>
      <c r="B28" t="s">
        <v>66</v>
      </c>
      <c r="C28" t="s">
        <v>6</v>
      </c>
    </row>
    <row r="29" spans="1:3" x14ac:dyDescent="0.3">
      <c r="A29" t="s">
        <v>67</v>
      </c>
      <c r="B29" t="s">
        <v>68</v>
      </c>
      <c r="C29" t="s">
        <v>6</v>
      </c>
    </row>
    <row r="30" spans="1:3" x14ac:dyDescent="0.3">
      <c r="A30" t="s">
        <v>69</v>
      </c>
      <c r="B30" t="s">
        <v>70</v>
      </c>
      <c r="C30" t="s">
        <v>6</v>
      </c>
    </row>
    <row r="31" spans="1:3" x14ac:dyDescent="0.3">
      <c r="A31" t="s">
        <v>71</v>
      </c>
      <c r="B31" t="s">
        <v>72</v>
      </c>
      <c r="C31" t="s">
        <v>6</v>
      </c>
    </row>
    <row r="32" spans="1:3" x14ac:dyDescent="0.3">
      <c r="A32" t="s">
        <v>73</v>
      </c>
      <c r="B32" t="s">
        <v>74</v>
      </c>
      <c r="C32" t="s">
        <v>6</v>
      </c>
    </row>
    <row r="33" spans="1:3" x14ac:dyDescent="0.3">
      <c r="A33" t="s">
        <v>75</v>
      </c>
      <c r="B33" t="s">
        <v>76</v>
      </c>
      <c r="C33" t="s">
        <v>6</v>
      </c>
    </row>
    <row r="34" spans="1:3" x14ac:dyDescent="0.3">
      <c r="A34" t="s">
        <v>77</v>
      </c>
      <c r="B34" t="s">
        <v>78</v>
      </c>
      <c r="C34" t="s">
        <v>6</v>
      </c>
    </row>
    <row r="35" spans="1:3" x14ac:dyDescent="0.3">
      <c r="A35" t="s">
        <v>79</v>
      </c>
      <c r="B35" t="s">
        <v>80</v>
      </c>
      <c r="C35" t="s">
        <v>6</v>
      </c>
    </row>
    <row r="36" spans="1:3" x14ac:dyDescent="0.3">
      <c r="A36" t="s">
        <v>81</v>
      </c>
      <c r="B36" t="s">
        <v>82</v>
      </c>
      <c r="C36" t="s">
        <v>6</v>
      </c>
    </row>
    <row r="37" spans="1:3" x14ac:dyDescent="0.3">
      <c r="A37" t="s">
        <v>83</v>
      </c>
      <c r="B37" t="s">
        <v>84</v>
      </c>
      <c r="C37" t="s">
        <v>6</v>
      </c>
    </row>
    <row r="38" spans="1:3" x14ac:dyDescent="0.3">
      <c r="A38" t="s">
        <v>85</v>
      </c>
      <c r="B38" t="s">
        <v>86</v>
      </c>
      <c r="C38" t="s">
        <v>6</v>
      </c>
    </row>
    <row r="39" spans="1:3" x14ac:dyDescent="0.3">
      <c r="A39" t="s">
        <v>87</v>
      </c>
      <c r="B39" t="s">
        <v>88</v>
      </c>
      <c r="C39" t="s">
        <v>6</v>
      </c>
    </row>
    <row r="40" spans="1:3" x14ac:dyDescent="0.3">
      <c r="A40" t="s">
        <v>89</v>
      </c>
      <c r="B40" t="s">
        <v>90</v>
      </c>
      <c r="C40" t="s">
        <v>6</v>
      </c>
    </row>
    <row r="41" spans="1:3" x14ac:dyDescent="0.3">
      <c r="A41" t="s">
        <v>91</v>
      </c>
      <c r="B41" t="s">
        <v>92</v>
      </c>
      <c r="C41" t="s">
        <v>6</v>
      </c>
    </row>
    <row r="42" spans="1:3" x14ac:dyDescent="0.3">
      <c r="A42" t="s">
        <v>93</v>
      </c>
      <c r="B42" t="s">
        <v>94</v>
      </c>
      <c r="C42" t="s">
        <v>6</v>
      </c>
    </row>
    <row r="43" spans="1:3" x14ac:dyDescent="0.3">
      <c r="A43" t="s">
        <v>95</v>
      </c>
      <c r="B43" t="s">
        <v>96</v>
      </c>
      <c r="C43" t="s">
        <v>6</v>
      </c>
    </row>
    <row r="44" spans="1:3" x14ac:dyDescent="0.3">
      <c r="A44" t="s">
        <v>97</v>
      </c>
      <c r="B44" t="s">
        <v>98</v>
      </c>
      <c r="C44" t="s">
        <v>6</v>
      </c>
    </row>
    <row r="45" spans="1:3" x14ac:dyDescent="0.3">
      <c r="A45" t="s">
        <v>99</v>
      </c>
      <c r="B45" t="s">
        <v>100</v>
      </c>
      <c r="C45" t="s">
        <v>6</v>
      </c>
    </row>
    <row r="46" spans="1:3" x14ac:dyDescent="0.3">
      <c r="A46" t="s">
        <v>101</v>
      </c>
      <c r="B46" t="s">
        <v>102</v>
      </c>
      <c r="C46" t="s">
        <v>6</v>
      </c>
    </row>
    <row r="47" spans="1:3" x14ac:dyDescent="0.3">
      <c r="A47" t="s">
        <v>103</v>
      </c>
      <c r="B47" t="s">
        <v>104</v>
      </c>
      <c r="C47" t="s">
        <v>6</v>
      </c>
    </row>
    <row r="48" spans="1:3" x14ac:dyDescent="0.3">
      <c r="A48" t="s">
        <v>105</v>
      </c>
      <c r="B48" t="s">
        <v>106</v>
      </c>
      <c r="C48" t="s">
        <v>6</v>
      </c>
    </row>
    <row r="49" spans="1:3" x14ac:dyDescent="0.3">
      <c r="A49" t="s">
        <v>107</v>
      </c>
      <c r="B49" t="s">
        <v>108</v>
      </c>
      <c r="C49" t="s">
        <v>6</v>
      </c>
    </row>
    <row r="50" spans="1:3" x14ac:dyDescent="0.3">
      <c r="A50" t="s">
        <v>109</v>
      </c>
      <c r="B50" t="s">
        <v>110</v>
      </c>
      <c r="C50" t="s">
        <v>6</v>
      </c>
    </row>
    <row r="51" spans="1:3" x14ac:dyDescent="0.3">
      <c r="A51" t="s">
        <v>111</v>
      </c>
      <c r="B51" t="s">
        <v>112</v>
      </c>
      <c r="C51" t="s">
        <v>6</v>
      </c>
    </row>
    <row r="52" spans="1:3" x14ac:dyDescent="0.3">
      <c r="A52" t="s">
        <v>113</v>
      </c>
      <c r="B52" t="s">
        <v>114</v>
      </c>
      <c r="C52" t="s">
        <v>6</v>
      </c>
    </row>
    <row r="53" spans="1:3" x14ac:dyDescent="0.3">
      <c r="A53" t="s">
        <v>115</v>
      </c>
      <c r="B53" t="s">
        <v>116</v>
      </c>
      <c r="C53" t="s">
        <v>6</v>
      </c>
    </row>
    <row r="54" spans="1:3" x14ac:dyDescent="0.3">
      <c r="A54" t="s">
        <v>117</v>
      </c>
      <c r="B54" t="s">
        <v>118</v>
      </c>
      <c r="C54" t="s">
        <v>6</v>
      </c>
    </row>
    <row r="55" spans="1:3" x14ac:dyDescent="0.3">
      <c r="A55" t="s">
        <v>119</v>
      </c>
      <c r="B55" t="s">
        <v>120</v>
      </c>
      <c r="C55" t="s">
        <v>6</v>
      </c>
    </row>
    <row r="56" spans="1:3" x14ac:dyDescent="0.3">
      <c r="A56" t="s">
        <v>121</v>
      </c>
      <c r="B56" t="s">
        <v>122</v>
      </c>
      <c r="C5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62E5-9E97-48EB-963C-4A6B318896CE}">
  <dimension ref="A1:D25"/>
  <sheetViews>
    <sheetView zoomScaleNormal="100" workbookViewId="0">
      <selection activeCell="F18" sqref="F18"/>
    </sheetView>
  </sheetViews>
  <sheetFormatPr defaultRowHeight="14.4" x14ac:dyDescent="0.3"/>
  <cols>
    <col min="1" max="1" width="30.44140625" customWidth="1"/>
    <col min="2" max="2" width="30.21875" customWidth="1"/>
    <col min="4" max="4" width="21.88671875" customWidth="1"/>
  </cols>
  <sheetData>
    <row r="1" spans="1:4" x14ac:dyDescent="0.3">
      <c r="A1" s="7" t="s">
        <v>123</v>
      </c>
      <c r="B1" s="7"/>
      <c r="C1" s="7"/>
      <c r="D1" s="7"/>
    </row>
    <row r="2" spans="1:4" x14ac:dyDescent="0.3">
      <c r="A2" s="5" t="s">
        <v>49</v>
      </c>
      <c r="B2" s="5" t="s">
        <v>50</v>
      </c>
      <c r="C2" s="5" t="s">
        <v>5</v>
      </c>
      <c r="D2" s="5">
        <f t="shared" ref="D2:D25" ca="1" si="0">RAND()</f>
        <v>0.573915096026269</v>
      </c>
    </row>
    <row r="3" spans="1:4" x14ac:dyDescent="0.3">
      <c r="A3" s="5" t="s">
        <v>47</v>
      </c>
      <c r="B3" s="5" t="s">
        <v>48</v>
      </c>
      <c r="C3" s="5" t="s">
        <v>5</v>
      </c>
      <c r="D3" s="5">
        <f t="shared" ca="1" si="0"/>
        <v>0.86534411216808216</v>
      </c>
    </row>
    <row r="4" spans="1:4" x14ac:dyDescent="0.3">
      <c r="A4" s="5" t="s">
        <v>11</v>
      </c>
      <c r="B4" s="5" t="s">
        <v>12</v>
      </c>
      <c r="C4" s="5" t="s">
        <v>5</v>
      </c>
      <c r="D4" s="5">
        <f t="shared" ca="1" si="0"/>
        <v>0.5300305704624777</v>
      </c>
    </row>
    <row r="5" spans="1:4" x14ac:dyDescent="0.3">
      <c r="A5" s="5" t="s">
        <v>31</v>
      </c>
      <c r="B5" s="5" t="s">
        <v>32</v>
      </c>
      <c r="C5" s="5" t="s">
        <v>5</v>
      </c>
      <c r="D5" s="5">
        <f t="shared" ca="1" si="0"/>
        <v>0.39732641300393357</v>
      </c>
    </row>
    <row r="6" spans="1:4" x14ac:dyDescent="0.3">
      <c r="A6" s="5" t="s">
        <v>43</v>
      </c>
      <c r="B6" s="5" t="s">
        <v>44</v>
      </c>
      <c r="C6" s="5" t="s">
        <v>5</v>
      </c>
      <c r="D6" s="5">
        <f t="shared" ca="1" si="0"/>
        <v>0.12290016205014853</v>
      </c>
    </row>
    <row r="7" spans="1:4" x14ac:dyDescent="0.3">
      <c r="A7" s="5" t="s">
        <v>29</v>
      </c>
      <c r="B7" s="5" t="s">
        <v>30</v>
      </c>
      <c r="C7" s="5" t="s">
        <v>5</v>
      </c>
      <c r="D7" s="5">
        <f t="shared" ca="1" si="0"/>
        <v>0.64294153451428471</v>
      </c>
    </row>
    <row r="8" spans="1:4" x14ac:dyDescent="0.3">
      <c r="A8" s="5" t="s">
        <v>37</v>
      </c>
      <c r="B8" s="5" t="s">
        <v>38</v>
      </c>
      <c r="C8" s="5" t="s">
        <v>5</v>
      </c>
      <c r="D8" s="5">
        <f t="shared" ca="1" si="0"/>
        <v>0.69033884336017504</v>
      </c>
    </row>
    <row r="9" spans="1:4" x14ac:dyDescent="0.3">
      <c r="A9" s="5" t="s">
        <v>15</v>
      </c>
      <c r="B9" s="5" t="s">
        <v>16</v>
      </c>
      <c r="C9" s="5" t="s">
        <v>5</v>
      </c>
      <c r="D9" s="5">
        <f t="shared" ca="1" si="0"/>
        <v>0.39860329764339619</v>
      </c>
    </row>
    <row r="10" spans="1:4" x14ac:dyDescent="0.3">
      <c r="A10" s="5" t="s">
        <v>51</v>
      </c>
      <c r="B10" s="5" t="s">
        <v>52</v>
      </c>
      <c r="C10" s="5" t="s">
        <v>5</v>
      </c>
      <c r="D10" s="5">
        <f t="shared" ca="1" si="0"/>
        <v>0.55003655062065948</v>
      </c>
    </row>
    <row r="11" spans="1:4" x14ac:dyDescent="0.3">
      <c r="A11" s="5" t="s">
        <v>17</v>
      </c>
      <c r="B11" s="5" t="s">
        <v>18</v>
      </c>
      <c r="C11" s="5" t="s">
        <v>5</v>
      </c>
      <c r="D11" s="5">
        <f t="shared" ca="1" si="0"/>
        <v>0.36123692252477002</v>
      </c>
    </row>
    <row r="12" spans="1:4" x14ac:dyDescent="0.3">
      <c r="A12" s="5" t="s">
        <v>19</v>
      </c>
      <c r="B12" s="5" t="s">
        <v>20</v>
      </c>
      <c r="C12" s="5" t="s">
        <v>5</v>
      </c>
      <c r="D12" s="5">
        <f t="shared" ca="1" si="0"/>
        <v>0.29315410028694866</v>
      </c>
    </row>
    <row r="13" spans="1:4" x14ac:dyDescent="0.3">
      <c r="A13" s="5" t="s">
        <v>35</v>
      </c>
      <c r="B13" s="5" t="s">
        <v>36</v>
      </c>
      <c r="C13" s="5" t="s">
        <v>5</v>
      </c>
      <c r="D13" s="5">
        <f t="shared" ca="1" si="0"/>
        <v>0.48532458608455853</v>
      </c>
    </row>
    <row r="14" spans="1:4" x14ac:dyDescent="0.3">
      <c r="A14" s="5" t="s">
        <v>21</v>
      </c>
      <c r="B14" s="5" t="s">
        <v>22</v>
      </c>
      <c r="C14" s="5" t="s">
        <v>5</v>
      </c>
      <c r="D14" s="5">
        <f t="shared" ca="1" si="0"/>
        <v>0.65356555553401596</v>
      </c>
    </row>
    <row r="15" spans="1:4" x14ac:dyDescent="0.3">
      <c r="A15" s="5" t="s">
        <v>13</v>
      </c>
      <c r="B15" s="5" t="s">
        <v>14</v>
      </c>
      <c r="C15" s="5" t="s">
        <v>5</v>
      </c>
      <c r="D15" s="5">
        <f t="shared" ca="1" si="0"/>
        <v>0.76922560698711795</v>
      </c>
    </row>
    <row r="16" spans="1:4" x14ac:dyDescent="0.3">
      <c r="A16" s="5" t="s">
        <v>27</v>
      </c>
      <c r="B16" s="5" t="s">
        <v>28</v>
      </c>
      <c r="C16" s="5" t="s">
        <v>5</v>
      </c>
      <c r="D16" s="5">
        <f t="shared" ca="1" si="0"/>
        <v>0.32040644556521414</v>
      </c>
    </row>
    <row r="17" spans="1:4" x14ac:dyDescent="0.3">
      <c r="A17" t="s">
        <v>23</v>
      </c>
      <c r="B17" t="s">
        <v>24</v>
      </c>
      <c r="C17" t="s">
        <v>5</v>
      </c>
      <c r="D17">
        <f t="shared" ca="1" si="0"/>
        <v>0.54524262477285301</v>
      </c>
    </row>
    <row r="18" spans="1:4" x14ac:dyDescent="0.3">
      <c r="A18" t="s">
        <v>33</v>
      </c>
      <c r="B18" t="s">
        <v>34</v>
      </c>
      <c r="C18" t="s">
        <v>5</v>
      </c>
      <c r="D18">
        <f t="shared" ca="1" si="0"/>
        <v>0.84863064588997816</v>
      </c>
    </row>
    <row r="19" spans="1:4" x14ac:dyDescent="0.3">
      <c r="A19" t="s">
        <v>3</v>
      </c>
      <c r="B19" t="s">
        <v>4</v>
      </c>
      <c r="C19" t="s">
        <v>5</v>
      </c>
      <c r="D19">
        <f t="shared" ca="1" si="0"/>
        <v>0.28567167763062717</v>
      </c>
    </row>
    <row r="20" spans="1:4" x14ac:dyDescent="0.3">
      <c r="A20" t="s">
        <v>9</v>
      </c>
      <c r="B20" t="s">
        <v>10</v>
      </c>
      <c r="C20" t="s">
        <v>5</v>
      </c>
      <c r="D20">
        <f t="shared" ca="1" si="0"/>
        <v>0.67931343180989479</v>
      </c>
    </row>
    <row r="21" spans="1:4" x14ac:dyDescent="0.3">
      <c r="A21" t="s">
        <v>45</v>
      </c>
      <c r="B21" t="s">
        <v>46</v>
      </c>
      <c r="C21" t="s">
        <v>5</v>
      </c>
      <c r="D21">
        <f t="shared" ca="1" si="0"/>
        <v>0.78665991476042696</v>
      </c>
    </row>
    <row r="22" spans="1:4" x14ac:dyDescent="0.3">
      <c r="A22" t="s">
        <v>39</v>
      </c>
      <c r="B22" t="s">
        <v>40</v>
      </c>
      <c r="C22" t="s">
        <v>5</v>
      </c>
      <c r="D22">
        <f t="shared" ca="1" si="0"/>
        <v>0.4698703004527166</v>
      </c>
    </row>
    <row r="23" spans="1:4" x14ac:dyDescent="0.3">
      <c r="A23" t="s">
        <v>7</v>
      </c>
      <c r="B23" t="s">
        <v>8</v>
      </c>
      <c r="C23" t="s">
        <v>5</v>
      </c>
      <c r="D23">
        <f t="shared" ca="1" si="0"/>
        <v>0.76782556821277825</v>
      </c>
    </row>
    <row r="24" spans="1:4" x14ac:dyDescent="0.3">
      <c r="A24" t="s">
        <v>41</v>
      </c>
      <c r="B24" t="s">
        <v>42</v>
      </c>
      <c r="C24" t="s">
        <v>5</v>
      </c>
      <c r="D24">
        <f t="shared" ca="1" si="0"/>
        <v>0.83491149322685976</v>
      </c>
    </row>
    <row r="25" spans="1:4" x14ac:dyDescent="0.3">
      <c r="A25" t="s">
        <v>25</v>
      </c>
      <c r="B25" t="s">
        <v>26</v>
      </c>
      <c r="C25" t="s">
        <v>5</v>
      </c>
      <c r="D25">
        <f t="shared" ca="1" si="0"/>
        <v>0.96289105442043987</v>
      </c>
    </row>
  </sheetData>
  <sortState xmlns:xlrd2="http://schemas.microsoft.com/office/spreadsheetml/2017/richdata2" ref="A1:D24">
    <sortCondition ref="D1:D24"/>
  </sortState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BAFA-3965-436C-9CD1-6836C92C2BBF}">
  <dimension ref="A1:D32"/>
  <sheetViews>
    <sheetView tabSelected="1" zoomScale="121" workbookViewId="0">
      <selection activeCell="B17" sqref="B17"/>
    </sheetView>
  </sheetViews>
  <sheetFormatPr defaultRowHeight="14.4" x14ac:dyDescent="0.3"/>
  <cols>
    <col min="1" max="1" width="21.77734375" customWidth="1"/>
    <col min="2" max="2" width="36.21875" customWidth="1"/>
    <col min="3" max="3" width="10.6640625" customWidth="1"/>
  </cols>
  <sheetData>
    <row r="1" spans="1:4" x14ac:dyDescent="0.3">
      <c r="A1" s="7" t="s">
        <v>124</v>
      </c>
      <c r="B1" s="7"/>
      <c r="C1" s="7"/>
      <c r="D1" s="6"/>
    </row>
    <row r="2" spans="1:4" x14ac:dyDescent="0.3">
      <c r="A2" s="5" t="s">
        <v>73</v>
      </c>
      <c r="B2" s="5" t="s">
        <v>74</v>
      </c>
      <c r="C2" s="5" t="s">
        <v>6</v>
      </c>
      <c r="D2" s="5">
        <f t="shared" ref="D2:D32" ca="1" si="0">RAND()</f>
        <v>0.43838279344163089</v>
      </c>
    </row>
    <row r="3" spans="1:4" x14ac:dyDescent="0.3">
      <c r="A3" s="5" t="s">
        <v>89</v>
      </c>
      <c r="B3" s="5" t="s">
        <v>90</v>
      </c>
      <c r="C3" s="5" t="s">
        <v>6</v>
      </c>
      <c r="D3" s="5">
        <f t="shared" ca="1" si="0"/>
        <v>0.65645898898444077</v>
      </c>
    </row>
    <row r="4" spans="1:4" x14ac:dyDescent="0.3">
      <c r="A4" s="5" t="s">
        <v>103</v>
      </c>
      <c r="B4" s="5" t="s">
        <v>104</v>
      </c>
      <c r="C4" s="5" t="s">
        <v>6</v>
      </c>
      <c r="D4" s="5">
        <f t="shared" ca="1" si="0"/>
        <v>0.86103120654790632</v>
      </c>
    </row>
    <row r="5" spans="1:4" x14ac:dyDescent="0.3">
      <c r="A5" s="5" t="s">
        <v>79</v>
      </c>
      <c r="B5" s="5" t="s">
        <v>80</v>
      </c>
      <c r="C5" s="5" t="s">
        <v>6</v>
      </c>
      <c r="D5" s="5">
        <f t="shared" ca="1" si="0"/>
        <v>8.5945472160735004E-2</v>
      </c>
    </row>
    <row r="6" spans="1:4" x14ac:dyDescent="0.3">
      <c r="A6" s="5" t="s">
        <v>117</v>
      </c>
      <c r="B6" s="5" t="s">
        <v>118</v>
      </c>
      <c r="C6" s="5" t="s">
        <v>6</v>
      </c>
      <c r="D6" s="5">
        <f t="shared" ca="1" si="0"/>
        <v>0.76484780310550715</v>
      </c>
    </row>
    <row r="7" spans="1:4" x14ac:dyDescent="0.3">
      <c r="A7" s="5" t="s">
        <v>109</v>
      </c>
      <c r="B7" s="5" t="s">
        <v>110</v>
      </c>
      <c r="C7" s="5" t="s">
        <v>6</v>
      </c>
      <c r="D7" s="5">
        <f t="shared" ca="1" si="0"/>
        <v>0.82415565545930203</v>
      </c>
    </row>
    <row r="8" spans="1:4" x14ac:dyDescent="0.3">
      <c r="A8" s="5" t="s">
        <v>93</v>
      </c>
      <c r="B8" s="5" t="s">
        <v>94</v>
      </c>
      <c r="C8" s="5" t="s">
        <v>6</v>
      </c>
      <c r="D8" s="5">
        <f t="shared" ca="1" si="0"/>
        <v>0.11024263785622312</v>
      </c>
    </row>
    <row r="9" spans="1:4" x14ac:dyDescent="0.3">
      <c r="A9" s="5" t="s">
        <v>71</v>
      </c>
      <c r="B9" s="5" t="s">
        <v>72</v>
      </c>
      <c r="C9" s="5" t="s">
        <v>6</v>
      </c>
      <c r="D9" s="5">
        <f t="shared" ca="1" si="0"/>
        <v>0.57750493700954786</v>
      </c>
    </row>
    <row r="10" spans="1:4" x14ac:dyDescent="0.3">
      <c r="A10" s="5" t="s">
        <v>95</v>
      </c>
      <c r="B10" s="5" t="s">
        <v>96</v>
      </c>
      <c r="C10" s="5" t="s">
        <v>6</v>
      </c>
      <c r="D10" s="5">
        <f t="shared" ca="1" si="0"/>
        <v>0.11266812188840503</v>
      </c>
    </row>
    <row r="11" spans="1:4" x14ac:dyDescent="0.3">
      <c r="A11" s="5" t="s">
        <v>111</v>
      </c>
      <c r="B11" s="5" t="s">
        <v>112</v>
      </c>
      <c r="C11" s="5" t="s">
        <v>6</v>
      </c>
      <c r="D11" s="5">
        <f t="shared" ca="1" si="0"/>
        <v>0.63795934362291973</v>
      </c>
    </row>
    <row r="12" spans="1:4" x14ac:dyDescent="0.3">
      <c r="A12" s="5" t="s">
        <v>65</v>
      </c>
      <c r="B12" s="5" t="s">
        <v>66</v>
      </c>
      <c r="C12" s="5" t="s">
        <v>6</v>
      </c>
      <c r="D12" s="5">
        <f t="shared" ca="1" si="0"/>
        <v>0.11568436449626029</v>
      </c>
    </row>
    <row r="13" spans="1:4" x14ac:dyDescent="0.3">
      <c r="A13" s="5" t="s">
        <v>97</v>
      </c>
      <c r="B13" s="5" t="s">
        <v>98</v>
      </c>
      <c r="C13" s="5" t="s">
        <v>6</v>
      </c>
      <c r="D13" s="5">
        <f t="shared" ca="1" si="0"/>
        <v>0.24603057266888873</v>
      </c>
    </row>
    <row r="14" spans="1:4" x14ac:dyDescent="0.3">
      <c r="A14" s="5" t="s">
        <v>101</v>
      </c>
      <c r="B14" s="5" t="s">
        <v>102</v>
      </c>
      <c r="C14" s="5" t="s">
        <v>6</v>
      </c>
      <c r="D14" s="5">
        <f t="shared" ca="1" si="0"/>
        <v>0.41753809989218871</v>
      </c>
    </row>
    <row r="15" spans="1:4" x14ac:dyDescent="0.3">
      <c r="A15" s="5" t="s">
        <v>107</v>
      </c>
      <c r="B15" s="5" t="s">
        <v>108</v>
      </c>
      <c r="C15" s="5" t="s">
        <v>6</v>
      </c>
      <c r="D15" s="5">
        <f t="shared" ca="1" si="0"/>
        <v>0.88758091530932848</v>
      </c>
    </row>
    <row r="16" spans="1:4" x14ac:dyDescent="0.3">
      <c r="A16" s="5" t="s">
        <v>77</v>
      </c>
      <c r="B16" s="5" t="s">
        <v>78</v>
      </c>
      <c r="C16" s="5" t="s">
        <v>6</v>
      </c>
      <c r="D16" s="5">
        <f t="shared" ca="1" si="0"/>
        <v>0.36275153497546964</v>
      </c>
    </row>
    <row r="17" spans="1:4" x14ac:dyDescent="0.3">
      <c r="A17" t="s">
        <v>115</v>
      </c>
      <c r="B17" t="s">
        <v>116</v>
      </c>
      <c r="C17" t="s">
        <v>6</v>
      </c>
      <c r="D17">
        <f t="shared" ca="1" si="0"/>
        <v>0.67595881647304312</v>
      </c>
    </row>
    <row r="18" spans="1:4" x14ac:dyDescent="0.3">
      <c r="A18" t="s">
        <v>81</v>
      </c>
      <c r="B18" t="s">
        <v>82</v>
      </c>
      <c r="C18" t="s">
        <v>6</v>
      </c>
      <c r="D18">
        <f t="shared" ca="1" si="0"/>
        <v>0.99137977506179153</v>
      </c>
    </row>
    <row r="19" spans="1:4" x14ac:dyDescent="0.3">
      <c r="A19" t="s">
        <v>85</v>
      </c>
      <c r="B19" t="s">
        <v>86</v>
      </c>
      <c r="C19" t="s">
        <v>6</v>
      </c>
      <c r="D19">
        <f t="shared" ca="1" si="0"/>
        <v>0.84792448033328838</v>
      </c>
    </row>
    <row r="20" spans="1:4" x14ac:dyDescent="0.3">
      <c r="A20" t="s">
        <v>87</v>
      </c>
      <c r="B20" t="s">
        <v>88</v>
      </c>
      <c r="C20" t="s">
        <v>6</v>
      </c>
      <c r="D20">
        <f t="shared" ca="1" si="0"/>
        <v>0.30250893116123423</v>
      </c>
    </row>
    <row r="21" spans="1:4" x14ac:dyDescent="0.3">
      <c r="A21" t="s">
        <v>91</v>
      </c>
      <c r="B21" t="s">
        <v>92</v>
      </c>
      <c r="C21" t="s">
        <v>6</v>
      </c>
      <c r="D21">
        <f t="shared" ca="1" si="0"/>
        <v>0.51851012548843223</v>
      </c>
    </row>
    <row r="22" spans="1:4" x14ac:dyDescent="0.3">
      <c r="A22" t="s">
        <v>83</v>
      </c>
      <c r="B22" t="s">
        <v>84</v>
      </c>
      <c r="C22" t="s">
        <v>6</v>
      </c>
      <c r="D22">
        <f t="shared" ca="1" si="0"/>
        <v>0.52837493839991612</v>
      </c>
    </row>
    <row r="23" spans="1:4" x14ac:dyDescent="0.3">
      <c r="A23" t="s">
        <v>121</v>
      </c>
      <c r="B23" t="s">
        <v>122</v>
      </c>
      <c r="C23" t="s">
        <v>6</v>
      </c>
      <c r="D23">
        <f t="shared" ca="1" si="0"/>
        <v>0.65995603152022797</v>
      </c>
    </row>
    <row r="24" spans="1:4" x14ac:dyDescent="0.3">
      <c r="A24" t="s">
        <v>61</v>
      </c>
      <c r="B24" t="s">
        <v>62</v>
      </c>
      <c r="C24" t="s">
        <v>6</v>
      </c>
      <c r="D24">
        <f t="shared" ca="1" si="0"/>
        <v>0.84353934976818257</v>
      </c>
    </row>
    <row r="25" spans="1:4" x14ac:dyDescent="0.3">
      <c r="A25" t="s">
        <v>99</v>
      </c>
      <c r="B25" t="s">
        <v>100</v>
      </c>
      <c r="C25" t="s">
        <v>6</v>
      </c>
      <c r="D25">
        <f t="shared" ca="1" si="0"/>
        <v>0.80049648834130882</v>
      </c>
    </row>
    <row r="26" spans="1:4" x14ac:dyDescent="0.3">
      <c r="A26" t="s">
        <v>113</v>
      </c>
      <c r="B26" t="s">
        <v>114</v>
      </c>
      <c r="C26" t="s">
        <v>6</v>
      </c>
      <c r="D26">
        <f t="shared" ca="1" si="0"/>
        <v>0.13008862496650109</v>
      </c>
    </row>
    <row r="27" spans="1:4" x14ac:dyDescent="0.3">
      <c r="A27" t="s">
        <v>105</v>
      </c>
      <c r="B27" t="s">
        <v>106</v>
      </c>
      <c r="C27" t="s">
        <v>6</v>
      </c>
      <c r="D27">
        <f t="shared" ca="1" si="0"/>
        <v>3.422811739958842E-2</v>
      </c>
    </row>
    <row r="28" spans="1:4" x14ac:dyDescent="0.3">
      <c r="A28" t="s">
        <v>63</v>
      </c>
      <c r="B28" t="s">
        <v>64</v>
      </c>
      <c r="C28" t="s">
        <v>6</v>
      </c>
      <c r="D28">
        <f t="shared" ca="1" si="0"/>
        <v>0.56782532849195899</v>
      </c>
    </row>
    <row r="29" spans="1:4" x14ac:dyDescent="0.3">
      <c r="A29" t="s">
        <v>119</v>
      </c>
      <c r="B29" t="s">
        <v>120</v>
      </c>
      <c r="C29" t="s">
        <v>6</v>
      </c>
      <c r="D29">
        <f t="shared" ca="1" si="0"/>
        <v>0.37578066503003726</v>
      </c>
    </row>
    <row r="30" spans="1:4" x14ac:dyDescent="0.3">
      <c r="A30" t="s">
        <v>75</v>
      </c>
      <c r="B30" t="s">
        <v>76</v>
      </c>
      <c r="C30" t="s">
        <v>6</v>
      </c>
      <c r="D30">
        <f t="shared" ca="1" si="0"/>
        <v>0.50692147789227915</v>
      </c>
    </row>
    <row r="31" spans="1:4" x14ac:dyDescent="0.3">
      <c r="A31" t="s">
        <v>69</v>
      </c>
      <c r="B31" t="s">
        <v>70</v>
      </c>
      <c r="C31" t="s">
        <v>6</v>
      </c>
      <c r="D31">
        <f t="shared" ca="1" si="0"/>
        <v>0.41968973152521782</v>
      </c>
    </row>
    <row r="32" spans="1:4" x14ac:dyDescent="0.3">
      <c r="A32" t="s">
        <v>67</v>
      </c>
      <c r="B32" t="s">
        <v>68</v>
      </c>
      <c r="C32" t="s">
        <v>6</v>
      </c>
      <c r="D32">
        <f t="shared" ca="1" si="0"/>
        <v>0.89116541524991799</v>
      </c>
    </row>
  </sheetData>
  <sortState xmlns:xlrd2="http://schemas.microsoft.com/office/spreadsheetml/2017/richdata2" ref="A2:D32">
    <sortCondition ref="D2:D32"/>
  </sortState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AA2D-F046-4FB8-A304-DD51B1C5FE5C}">
  <dimension ref="A1:Z33"/>
  <sheetViews>
    <sheetView zoomScale="26" workbookViewId="0">
      <selection activeCell="F79" sqref="F79"/>
    </sheetView>
  </sheetViews>
  <sheetFormatPr defaultRowHeight="14.4" x14ac:dyDescent="0.3"/>
  <cols>
    <col min="1" max="1" width="26.21875" customWidth="1"/>
    <col min="2" max="2" width="23.5546875" customWidth="1"/>
    <col min="3" max="3" width="20.77734375" customWidth="1"/>
    <col min="4" max="4" width="12.44140625" customWidth="1"/>
    <col min="19" max="19" width="23.77734375" customWidth="1"/>
    <col min="20" max="20" width="14" customWidth="1"/>
    <col min="21" max="21" width="31.6640625" customWidth="1"/>
    <col min="24" max="24" width="14.6640625" customWidth="1"/>
  </cols>
  <sheetData>
    <row r="1" spans="1:26" ht="238.2" thickBot="1" x14ac:dyDescent="0.35">
      <c r="A1" s="8" t="s">
        <v>125</v>
      </c>
      <c r="B1" s="9" t="s">
        <v>0</v>
      </c>
      <c r="C1" s="9" t="s">
        <v>126</v>
      </c>
      <c r="D1" s="9" t="s">
        <v>127</v>
      </c>
      <c r="E1" s="9" t="s">
        <v>128</v>
      </c>
      <c r="F1" s="9" t="s">
        <v>129</v>
      </c>
      <c r="G1" s="9" t="s">
        <v>130</v>
      </c>
      <c r="H1" s="9" t="s">
        <v>131</v>
      </c>
      <c r="I1" s="9" t="s">
        <v>132</v>
      </c>
      <c r="J1" s="9" t="s">
        <v>133</v>
      </c>
      <c r="K1" s="9" t="s">
        <v>134</v>
      </c>
      <c r="L1" s="9" t="s">
        <v>135</v>
      </c>
      <c r="M1" s="9" t="s">
        <v>136</v>
      </c>
      <c r="N1" s="9" t="s">
        <v>137</v>
      </c>
      <c r="O1" s="9" t="s">
        <v>138</v>
      </c>
      <c r="P1" s="10" t="s">
        <v>139</v>
      </c>
      <c r="Q1" s="24" t="s">
        <v>170</v>
      </c>
      <c r="R1" s="25" t="s">
        <v>171</v>
      </c>
      <c r="S1" s="25" t="s">
        <v>175</v>
      </c>
      <c r="T1" s="25" t="s">
        <v>176</v>
      </c>
      <c r="U1" s="25" t="s">
        <v>172</v>
      </c>
    </row>
    <row r="2" spans="1:26" ht="15" thickBot="1" x14ac:dyDescent="0.35">
      <c r="A2" s="11" t="s">
        <v>140</v>
      </c>
      <c r="B2" s="12" t="s">
        <v>13</v>
      </c>
      <c r="C2" s="13">
        <v>2024</v>
      </c>
      <c r="D2" s="12" t="s">
        <v>5</v>
      </c>
      <c r="E2" s="13">
        <v>1</v>
      </c>
      <c r="F2" s="13">
        <v>1</v>
      </c>
      <c r="G2" s="13">
        <v>2</v>
      </c>
      <c r="H2" s="13">
        <v>1</v>
      </c>
      <c r="I2" s="13">
        <v>2</v>
      </c>
      <c r="J2" s="13">
        <v>1</v>
      </c>
      <c r="K2" s="13">
        <v>2</v>
      </c>
      <c r="L2" s="13">
        <v>2</v>
      </c>
      <c r="M2" s="13">
        <v>1</v>
      </c>
      <c r="N2" s="13">
        <v>1</v>
      </c>
      <c r="O2" s="13">
        <v>1</v>
      </c>
      <c r="P2" s="14">
        <v>1</v>
      </c>
      <c r="Q2">
        <f>SUM(E2:P2)</f>
        <v>16</v>
      </c>
      <c r="R2">
        <f>AVERAGE(E2:P2)</f>
        <v>1.3333333333333333</v>
      </c>
      <c r="S2">
        <f>IF(AND(C2=2024,D2="A"),4.8,IF(AND(C2=2025,D2="B"),6.2,""))</f>
        <v>4.8</v>
      </c>
      <c r="T2" s="5">
        <f>R2*S2</f>
        <v>6.3999999999999995</v>
      </c>
      <c r="U2" s="26"/>
      <c r="V2" s="5"/>
      <c r="X2" s="26">
        <f>SUMPRODUCT(R2:R31,S2:S31)/SUM(S2:S31)</f>
        <v>2.8784848484848502</v>
      </c>
      <c r="Y2" s="5" t="str">
        <f>IF(X2&lt;=1.75,"Sangat Tidak Puas",IF(X2&lt;=2.5,"Tidak Puas",IF(X2&lt;=3.25,"Puas","Sangat Puas")))</f>
        <v>Puas</v>
      </c>
      <c r="Z2" s="5"/>
    </row>
    <row r="3" spans="1:26" ht="15" thickBot="1" x14ac:dyDescent="0.35">
      <c r="A3" s="15" t="s">
        <v>141</v>
      </c>
      <c r="B3" s="16" t="s">
        <v>35</v>
      </c>
      <c r="C3" s="17">
        <v>2024</v>
      </c>
      <c r="D3" s="16" t="s">
        <v>5</v>
      </c>
      <c r="E3" s="17">
        <v>3</v>
      </c>
      <c r="F3" s="17">
        <v>3</v>
      </c>
      <c r="G3" s="17">
        <v>4</v>
      </c>
      <c r="H3" s="17">
        <v>2</v>
      </c>
      <c r="I3" s="17">
        <v>3</v>
      </c>
      <c r="J3" s="17">
        <v>3</v>
      </c>
      <c r="K3" s="17">
        <v>2</v>
      </c>
      <c r="L3" s="17">
        <v>3</v>
      </c>
      <c r="M3" s="17">
        <v>3</v>
      </c>
      <c r="N3" s="17">
        <v>3</v>
      </c>
      <c r="O3" s="17">
        <v>3</v>
      </c>
      <c r="P3" s="18">
        <v>3</v>
      </c>
      <c r="Q3">
        <f t="shared" ref="Q3:Q31" si="0">SUM(E3:P3)</f>
        <v>35</v>
      </c>
      <c r="R3">
        <f t="shared" ref="R3:R31" si="1">AVERAGE(E3:P3)</f>
        <v>2.9166666666666665</v>
      </c>
      <c r="S3">
        <f t="shared" ref="S3:S31" si="2">IF(AND(C3=2024,D3="A"),4.8,IF(AND(C3=2025,D3="B"),6.2,""))</f>
        <v>4.8</v>
      </c>
      <c r="T3" s="5">
        <f t="shared" ref="T3:T31" si="3">R3*S3</f>
        <v>13.999999999999998</v>
      </c>
      <c r="U3" s="26"/>
      <c r="V3" s="5"/>
      <c r="X3" s="26"/>
      <c r="Y3" s="5"/>
      <c r="Z3" s="5"/>
    </row>
    <row r="4" spans="1:26" ht="15" thickBot="1" x14ac:dyDescent="0.35">
      <c r="A4" s="11" t="s">
        <v>142</v>
      </c>
      <c r="B4" s="12" t="s">
        <v>17</v>
      </c>
      <c r="C4" s="13">
        <v>2024</v>
      </c>
      <c r="D4" s="12" t="s">
        <v>5</v>
      </c>
      <c r="E4" s="13">
        <v>3</v>
      </c>
      <c r="F4" s="13">
        <v>3</v>
      </c>
      <c r="G4" s="13">
        <v>3</v>
      </c>
      <c r="H4" s="13">
        <v>3</v>
      </c>
      <c r="I4" s="13">
        <v>3</v>
      </c>
      <c r="J4" s="13">
        <v>2</v>
      </c>
      <c r="K4" s="13">
        <v>2</v>
      </c>
      <c r="L4" s="13">
        <v>3</v>
      </c>
      <c r="M4" s="13">
        <v>3</v>
      </c>
      <c r="N4" s="13">
        <v>3</v>
      </c>
      <c r="O4" s="13">
        <v>3</v>
      </c>
      <c r="P4" s="14">
        <v>3</v>
      </c>
      <c r="Q4">
        <f t="shared" si="0"/>
        <v>34</v>
      </c>
      <c r="R4">
        <f t="shared" si="1"/>
        <v>2.8333333333333335</v>
      </c>
      <c r="S4">
        <f t="shared" si="2"/>
        <v>4.8</v>
      </c>
      <c r="T4" s="5">
        <f t="shared" si="3"/>
        <v>13.6</v>
      </c>
      <c r="X4" s="26"/>
      <c r="Y4" s="5"/>
      <c r="Z4" s="5"/>
    </row>
    <row r="5" spans="1:26" ht="15" thickBot="1" x14ac:dyDescent="0.35">
      <c r="A5" s="15" t="s">
        <v>143</v>
      </c>
      <c r="B5" s="16" t="s">
        <v>79</v>
      </c>
      <c r="C5" s="17">
        <v>2025</v>
      </c>
      <c r="D5" s="16" t="s">
        <v>6</v>
      </c>
      <c r="E5" s="17">
        <v>3</v>
      </c>
      <c r="F5" s="17">
        <v>3</v>
      </c>
      <c r="G5" s="17">
        <v>4</v>
      </c>
      <c r="H5" s="17">
        <v>4</v>
      </c>
      <c r="I5" s="17">
        <v>3</v>
      </c>
      <c r="J5" s="17">
        <v>3</v>
      </c>
      <c r="K5" s="17">
        <v>3</v>
      </c>
      <c r="L5" s="17">
        <v>3</v>
      </c>
      <c r="M5" s="17">
        <v>3</v>
      </c>
      <c r="N5" s="17">
        <v>1</v>
      </c>
      <c r="O5" s="17">
        <v>3</v>
      </c>
      <c r="P5" s="18">
        <v>3</v>
      </c>
      <c r="Q5">
        <f t="shared" si="0"/>
        <v>36</v>
      </c>
      <c r="R5">
        <f t="shared" si="1"/>
        <v>3</v>
      </c>
      <c r="S5">
        <f t="shared" si="2"/>
        <v>6.2</v>
      </c>
      <c r="T5" s="5">
        <f t="shared" si="3"/>
        <v>18.600000000000001</v>
      </c>
      <c r="U5" s="28"/>
      <c r="V5" s="27"/>
      <c r="X5" s="26"/>
      <c r="Y5" s="5"/>
      <c r="Z5" s="5"/>
    </row>
    <row r="6" spans="1:26" ht="15" thickBot="1" x14ac:dyDescent="0.35">
      <c r="A6" s="11" t="s">
        <v>144</v>
      </c>
      <c r="B6" s="12" t="s">
        <v>65</v>
      </c>
      <c r="C6" s="13">
        <v>2025</v>
      </c>
      <c r="D6" s="12" t="s">
        <v>6</v>
      </c>
      <c r="E6" s="13">
        <v>4</v>
      </c>
      <c r="F6" s="13">
        <v>4</v>
      </c>
      <c r="G6" s="13">
        <v>4</v>
      </c>
      <c r="H6" s="13">
        <v>4</v>
      </c>
      <c r="I6" s="13">
        <v>4</v>
      </c>
      <c r="J6" s="13">
        <v>4</v>
      </c>
      <c r="K6" s="13">
        <v>4</v>
      </c>
      <c r="L6" s="13">
        <v>3</v>
      </c>
      <c r="M6" s="13">
        <v>3</v>
      </c>
      <c r="N6" s="13">
        <v>3</v>
      </c>
      <c r="O6" s="13">
        <v>4</v>
      </c>
      <c r="P6" s="14">
        <v>4</v>
      </c>
      <c r="Q6">
        <f t="shared" si="0"/>
        <v>45</v>
      </c>
      <c r="R6">
        <f t="shared" si="1"/>
        <v>3.75</v>
      </c>
      <c r="S6">
        <f t="shared" si="2"/>
        <v>6.2</v>
      </c>
      <c r="T6" s="5">
        <f t="shared" si="3"/>
        <v>23.25</v>
      </c>
      <c r="U6" s="28"/>
      <c r="V6" s="27"/>
      <c r="X6" s="26"/>
      <c r="Y6" s="5"/>
      <c r="Z6" s="5"/>
    </row>
    <row r="7" spans="1:26" ht="27" thickBot="1" x14ac:dyDescent="0.35">
      <c r="A7" s="15" t="s">
        <v>145</v>
      </c>
      <c r="B7" s="16" t="s">
        <v>51</v>
      </c>
      <c r="C7" s="17">
        <v>2024</v>
      </c>
      <c r="D7" s="16" t="s">
        <v>5</v>
      </c>
      <c r="E7" s="17">
        <v>2</v>
      </c>
      <c r="F7" s="17">
        <v>2</v>
      </c>
      <c r="G7" s="17">
        <v>2</v>
      </c>
      <c r="H7" s="17">
        <v>2</v>
      </c>
      <c r="I7" s="17">
        <v>2</v>
      </c>
      <c r="J7" s="17">
        <v>2</v>
      </c>
      <c r="K7" s="17">
        <v>2</v>
      </c>
      <c r="L7" s="17">
        <v>2</v>
      </c>
      <c r="M7" s="17">
        <v>2</v>
      </c>
      <c r="N7" s="17">
        <v>2</v>
      </c>
      <c r="O7" s="17">
        <v>2</v>
      </c>
      <c r="P7" s="18">
        <v>2</v>
      </c>
      <c r="Q7">
        <f t="shared" si="0"/>
        <v>24</v>
      </c>
      <c r="R7">
        <f t="shared" si="1"/>
        <v>2</v>
      </c>
      <c r="S7">
        <f t="shared" si="2"/>
        <v>4.8</v>
      </c>
      <c r="T7" s="5">
        <f t="shared" si="3"/>
        <v>9.6</v>
      </c>
      <c r="U7" s="28"/>
      <c r="V7" s="27"/>
    </row>
    <row r="8" spans="1:26" ht="15" thickBot="1" x14ac:dyDescent="0.35">
      <c r="A8" s="11" t="s">
        <v>146</v>
      </c>
      <c r="B8" s="12" t="s">
        <v>27</v>
      </c>
      <c r="C8" s="13">
        <v>2024</v>
      </c>
      <c r="D8" s="12" t="s">
        <v>5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4">
        <v>1</v>
      </c>
      <c r="Q8">
        <f t="shared" si="0"/>
        <v>12</v>
      </c>
      <c r="R8">
        <f t="shared" si="1"/>
        <v>1</v>
      </c>
      <c r="S8">
        <f t="shared" si="2"/>
        <v>4.8</v>
      </c>
      <c r="T8" s="5">
        <f t="shared" si="3"/>
        <v>4.8</v>
      </c>
      <c r="U8" s="28"/>
      <c r="V8" s="27"/>
    </row>
    <row r="9" spans="1:26" ht="15" thickBot="1" x14ac:dyDescent="0.35">
      <c r="A9" s="15" t="s">
        <v>147</v>
      </c>
      <c r="B9" s="16" t="s">
        <v>47</v>
      </c>
      <c r="C9" s="17">
        <v>2024</v>
      </c>
      <c r="D9" s="16" t="s">
        <v>5</v>
      </c>
      <c r="E9" s="17">
        <v>3</v>
      </c>
      <c r="F9" s="17">
        <v>3</v>
      </c>
      <c r="G9" s="17">
        <v>3</v>
      </c>
      <c r="H9" s="17">
        <v>3</v>
      </c>
      <c r="I9" s="17">
        <v>3</v>
      </c>
      <c r="J9" s="17">
        <v>3</v>
      </c>
      <c r="K9" s="17">
        <v>3</v>
      </c>
      <c r="L9" s="17">
        <v>3</v>
      </c>
      <c r="M9" s="17">
        <v>3</v>
      </c>
      <c r="N9" s="17">
        <v>3</v>
      </c>
      <c r="O9" s="17">
        <v>3</v>
      </c>
      <c r="P9" s="18">
        <v>3</v>
      </c>
      <c r="Q9">
        <f t="shared" si="0"/>
        <v>36</v>
      </c>
      <c r="R9">
        <f t="shared" si="1"/>
        <v>3</v>
      </c>
      <c r="S9">
        <f t="shared" si="2"/>
        <v>4.8</v>
      </c>
      <c r="T9" s="5">
        <f t="shared" si="3"/>
        <v>14.399999999999999</v>
      </c>
      <c r="U9" s="28"/>
      <c r="V9" s="27"/>
    </row>
    <row r="10" spans="1:26" ht="15" thickBot="1" x14ac:dyDescent="0.35">
      <c r="A10" s="11" t="s">
        <v>148</v>
      </c>
      <c r="B10" s="12" t="s">
        <v>149</v>
      </c>
      <c r="C10" s="13">
        <v>2024</v>
      </c>
      <c r="D10" s="12" t="s">
        <v>5</v>
      </c>
      <c r="E10" s="13">
        <v>2</v>
      </c>
      <c r="F10" s="13">
        <v>1</v>
      </c>
      <c r="G10" s="13">
        <v>2</v>
      </c>
      <c r="H10" s="13">
        <v>1</v>
      </c>
      <c r="I10" s="13">
        <v>2</v>
      </c>
      <c r="J10" s="13">
        <v>2</v>
      </c>
      <c r="K10" s="13">
        <v>2</v>
      </c>
      <c r="L10" s="13">
        <v>3</v>
      </c>
      <c r="M10" s="13">
        <v>2</v>
      </c>
      <c r="N10" s="13">
        <v>2</v>
      </c>
      <c r="O10" s="13">
        <v>3</v>
      </c>
      <c r="P10" s="14">
        <v>2</v>
      </c>
      <c r="Q10">
        <f t="shared" si="0"/>
        <v>24</v>
      </c>
      <c r="R10">
        <f t="shared" si="1"/>
        <v>2</v>
      </c>
      <c r="S10">
        <f t="shared" si="2"/>
        <v>4.8</v>
      </c>
      <c r="T10" s="5">
        <f t="shared" si="3"/>
        <v>9.6</v>
      </c>
      <c r="U10" s="28"/>
      <c r="V10" s="27"/>
      <c r="X10">
        <f>_xlfn.VAR.S(R2:R31)</f>
        <v>0.43004469987228772</v>
      </c>
      <c r="Y10" s="23" t="s">
        <v>177</v>
      </c>
    </row>
    <row r="11" spans="1:26" ht="15" thickBot="1" x14ac:dyDescent="0.35">
      <c r="A11" s="15" t="s">
        <v>150</v>
      </c>
      <c r="B11" s="16" t="s">
        <v>77</v>
      </c>
      <c r="C11" s="17">
        <v>2025</v>
      </c>
      <c r="D11" s="16" t="s">
        <v>6</v>
      </c>
      <c r="E11" s="17">
        <v>2</v>
      </c>
      <c r="F11" s="17">
        <v>2</v>
      </c>
      <c r="G11" s="17">
        <v>3</v>
      </c>
      <c r="H11" s="17">
        <v>2</v>
      </c>
      <c r="I11" s="17">
        <v>2</v>
      </c>
      <c r="J11" s="17">
        <v>2</v>
      </c>
      <c r="K11" s="17">
        <v>3</v>
      </c>
      <c r="L11" s="17">
        <v>2</v>
      </c>
      <c r="M11" s="17">
        <v>3</v>
      </c>
      <c r="N11" s="17">
        <v>2</v>
      </c>
      <c r="O11" s="17">
        <v>3</v>
      </c>
      <c r="P11" s="18">
        <v>2</v>
      </c>
      <c r="Q11">
        <f t="shared" si="0"/>
        <v>28</v>
      </c>
      <c r="R11">
        <f t="shared" si="1"/>
        <v>2.3333333333333335</v>
      </c>
      <c r="S11">
        <f t="shared" si="2"/>
        <v>6.2</v>
      </c>
      <c r="T11" s="5">
        <f t="shared" si="3"/>
        <v>14.466666666666669</v>
      </c>
      <c r="X11">
        <f>_xlfn.STDEV.S(R2:R31)</f>
        <v>0.65577793487756797</v>
      </c>
      <c r="Y11" s="23" t="s">
        <v>178</v>
      </c>
    </row>
    <row r="12" spans="1:26" ht="15" thickBot="1" x14ac:dyDescent="0.35">
      <c r="A12" s="11" t="s">
        <v>151</v>
      </c>
      <c r="B12" s="12" t="s">
        <v>31</v>
      </c>
      <c r="C12" s="13">
        <v>2024</v>
      </c>
      <c r="D12" s="12" t="s">
        <v>5</v>
      </c>
      <c r="E12" s="13">
        <v>3</v>
      </c>
      <c r="F12" s="13">
        <v>3</v>
      </c>
      <c r="G12" s="13">
        <v>3</v>
      </c>
      <c r="H12" s="13">
        <v>3</v>
      </c>
      <c r="I12" s="13">
        <v>3</v>
      </c>
      <c r="J12" s="13">
        <v>3</v>
      </c>
      <c r="K12" s="13">
        <v>3</v>
      </c>
      <c r="L12" s="13">
        <v>3</v>
      </c>
      <c r="M12" s="13">
        <v>3</v>
      </c>
      <c r="N12" s="13">
        <v>3</v>
      </c>
      <c r="O12" s="13">
        <v>3</v>
      </c>
      <c r="P12" s="14">
        <v>3</v>
      </c>
      <c r="Q12">
        <f t="shared" si="0"/>
        <v>36</v>
      </c>
      <c r="R12">
        <f t="shared" si="1"/>
        <v>3</v>
      </c>
      <c r="S12">
        <f t="shared" si="2"/>
        <v>4.8</v>
      </c>
      <c r="T12" s="5">
        <f t="shared" si="3"/>
        <v>14.399999999999999</v>
      </c>
      <c r="X12">
        <f>_xlfn.STDEV.S(R2:R31)/SQRT(COUNT(R2:R31))</f>
        <v>0.11972812254886593</v>
      </c>
      <c r="Y12" s="23" t="s">
        <v>179</v>
      </c>
    </row>
    <row r="13" spans="1:26" ht="15" thickBot="1" x14ac:dyDescent="0.35">
      <c r="A13" s="15" t="s">
        <v>152</v>
      </c>
      <c r="B13" s="16" t="s">
        <v>29</v>
      </c>
      <c r="C13" s="17">
        <v>2024</v>
      </c>
      <c r="D13" s="16" t="s">
        <v>5</v>
      </c>
      <c r="E13" s="17">
        <v>3</v>
      </c>
      <c r="F13" s="17">
        <v>3</v>
      </c>
      <c r="G13" s="17">
        <v>2</v>
      </c>
      <c r="H13" s="17">
        <v>2</v>
      </c>
      <c r="I13" s="17">
        <v>3</v>
      </c>
      <c r="J13" s="17">
        <v>3</v>
      </c>
      <c r="K13" s="17">
        <v>3</v>
      </c>
      <c r="L13" s="17">
        <v>3</v>
      </c>
      <c r="M13" s="17">
        <v>2</v>
      </c>
      <c r="N13" s="17">
        <v>2</v>
      </c>
      <c r="O13" s="17">
        <v>3</v>
      </c>
      <c r="P13" s="18">
        <v>3</v>
      </c>
      <c r="Q13">
        <f t="shared" si="0"/>
        <v>32</v>
      </c>
      <c r="R13">
        <f t="shared" si="1"/>
        <v>2.6666666666666665</v>
      </c>
      <c r="S13">
        <f t="shared" si="2"/>
        <v>4.8</v>
      </c>
      <c r="T13" s="5">
        <f t="shared" si="3"/>
        <v>12.799999999999999</v>
      </c>
      <c r="X13">
        <f>X2-1.96*X12</f>
        <v>2.6438177282890729</v>
      </c>
      <c r="Y13" s="23" t="s">
        <v>173</v>
      </c>
    </row>
    <row r="14" spans="1:26" ht="15" thickBot="1" x14ac:dyDescent="0.35">
      <c r="A14" s="11" t="s">
        <v>153</v>
      </c>
      <c r="B14" s="12" t="s">
        <v>21</v>
      </c>
      <c r="C14" s="13">
        <v>2024</v>
      </c>
      <c r="D14" s="12" t="s">
        <v>5</v>
      </c>
      <c r="E14" s="13">
        <v>3</v>
      </c>
      <c r="F14" s="13">
        <v>3</v>
      </c>
      <c r="G14" s="13">
        <v>4</v>
      </c>
      <c r="H14" s="13">
        <v>2</v>
      </c>
      <c r="I14" s="13">
        <v>2</v>
      </c>
      <c r="J14" s="13">
        <v>3</v>
      </c>
      <c r="K14" s="13">
        <v>3</v>
      </c>
      <c r="L14" s="13">
        <v>3</v>
      </c>
      <c r="M14" s="13">
        <v>3</v>
      </c>
      <c r="N14" s="13">
        <v>1</v>
      </c>
      <c r="O14" s="13">
        <v>3</v>
      </c>
      <c r="P14" s="14">
        <v>3</v>
      </c>
      <c r="Q14">
        <f t="shared" si="0"/>
        <v>33</v>
      </c>
      <c r="R14">
        <f t="shared" si="1"/>
        <v>2.75</v>
      </c>
      <c r="S14">
        <f t="shared" si="2"/>
        <v>4.8</v>
      </c>
      <c r="T14" s="5">
        <f t="shared" si="3"/>
        <v>13.2</v>
      </c>
      <c r="X14">
        <f>X2+1.96*X12</f>
        <v>3.1131519686806275</v>
      </c>
      <c r="Y14" s="23" t="s">
        <v>174</v>
      </c>
    </row>
    <row r="15" spans="1:26" ht="15" thickBot="1" x14ac:dyDescent="0.35">
      <c r="A15" s="15" t="s">
        <v>154</v>
      </c>
      <c r="B15" s="16" t="s">
        <v>37</v>
      </c>
      <c r="C15" s="17">
        <v>2024</v>
      </c>
      <c r="D15" s="16" t="s">
        <v>5</v>
      </c>
      <c r="E15" s="17">
        <v>4</v>
      </c>
      <c r="F15" s="17">
        <v>3</v>
      </c>
      <c r="G15" s="17">
        <v>3</v>
      </c>
      <c r="H15" s="17">
        <v>2</v>
      </c>
      <c r="I15" s="17">
        <v>3</v>
      </c>
      <c r="J15" s="17">
        <v>3</v>
      </c>
      <c r="K15" s="17">
        <v>4</v>
      </c>
      <c r="L15" s="17">
        <v>3</v>
      </c>
      <c r="M15" s="17">
        <v>3</v>
      </c>
      <c r="N15" s="17">
        <v>4</v>
      </c>
      <c r="O15" s="17">
        <v>4</v>
      </c>
      <c r="P15" s="18">
        <v>3</v>
      </c>
      <c r="Q15">
        <f t="shared" si="0"/>
        <v>39</v>
      </c>
      <c r="R15">
        <f t="shared" si="1"/>
        <v>3.25</v>
      </c>
      <c r="S15">
        <f t="shared" si="2"/>
        <v>4.8</v>
      </c>
      <c r="T15" s="5">
        <f t="shared" si="3"/>
        <v>15.6</v>
      </c>
      <c r="X15">
        <f>(X12/X2)*100</f>
        <v>4.1594147216681474</v>
      </c>
      <c r="Y15" s="23" t="s">
        <v>180</v>
      </c>
    </row>
    <row r="16" spans="1:26" ht="15" thickBot="1" x14ac:dyDescent="0.35">
      <c r="A16" s="11" t="s">
        <v>155</v>
      </c>
      <c r="B16" s="12" t="s">
        <v>43</v>
      </c>
      <c r="C16" s="13">
        <v>2024</v>
      </c>
      <c r="D16" s="12" t="s">
        <v>5</v>
      </c>
      <c r="E16" s="13">
        <v>2</v>
      </c>
      <c r="F16" s="13">
        <v>2</v>
      </c>
      <c r="G16" s="13">
        <v>3</v>
      </c>
      <c r="H16" s="13">
        <v>3</v>
      </c>
      <c r="I16" s="13">
        <v>2</v>
      </c>
      <c r="J16" s="13">
        <v>3</v>
      </c>
      <c r="K16" s="13">
        <v>3</v>
      </c>
      <c r="L16" s="13">
        <v>3</v>
      </c>
      <c r="M16" s="13">
        <v>2</v>
      </c>
      <c r="N16" s="13">
        <v>1</v>
      </c>
      <c r="O16" s="13">
        <v>3</v>
      </c>
      <c r="P16" s="14">
        <v>2</v>
      </c>
      <c r="Q16">
        <f t="shared" si="0"/>
        <v>29</v>
      </c>
      <c r="R16">
        <f t="shared" si="1"/>
        <v>2.4166666666666665</v>
      </c>
      <c r="S16">
        <f t="shared" si="2"/>
        <v>4.8</v>
      </c>
      <c r="T16" s="5">
        <f t="shared" si="3"/>
        <v>11.6</v>
      </c>
      <c r="Y16" s="23" t="s">
        <v>181</v>
      </c>
    </row>
    <row r="17" spans="1:20" ht="27" thickBot="1" x14ac:dyDescent="0.35">
      <c r="A17" s="15" t="s">
        <v>156</v>
      </c>
      <c r="B17" s="16" t="s">
        <v>109</v>
      </c>
      <c r="C17" s="17">
        <v>2025</v>
      </c>
      <c r="D17" s="16" t="s">
        <v>6</v>
      </c>
      <c r="E17" s="17">
        <v>4</v>
      </c>
      <c r="F17" s="17">
        <v>4</v>
      </c>
      <c r="G17" s="17">
        <v>4</v>
      </c>
      <c r="H17" s="17">
        <v>4</v>
      </c>
      <c r="I17" s="17">
        <v>4</v>
      </c>
      <c r="J17" s="17">
        <v>4</v>
      </c>
      <c r="K17" s="17">
        <v>4</v>
      </c>
      <c r="L17" s="17">
        <v>4</v>
      </c>
      <c r="M17" s="17">
        <v>4</v>
      </c>
      <c r="N17" s="17">
        <v>4</v>
      </c>
      <c r="O17" s="17">
        <v>4</v>
      </c>
      <c r="P17" s="18">
        <v>4</v>
      </c>
      <c r="Q17">
        <f t="shared" si="0"/>
        <v>48</v>
      </c>
      <c r="R17">
        <f t="shared" si="1"/>
        <v>4</v>
      </c>
      <c r="S17">
        <f t="shared" si="2"/>
        <v>6.2</v>
      </c>
      <c r="T17" s="5">
        <f t="shared" si="3"/>
        <v>24.8</v>
      </c>
    </row>
    <row r="18" spans="1:20" ht="40.200000000000003" thickBot="1" x14ac:dyDescent="0.35">
      <c r="A18" s="11" t="s">
        <v>157</v>
      </c>
      <c r="B18" s="12" t="s">
        <v>19</v>
      </c>
      <c r="C18" s="13">
        <v>2024</v>
      </c>
      <c r="D18" s="12" t="s">
        <v>5</v>
      </c>
      <c r="E18" s="13">
        <v>3</v>
      </c>
      <c r="F18" s="13">
        <v>3</v>
      </c>
      <c r="G18" s="13">
        <v>3</v>
      </c>
      <c r="H18" s="13">
        <v>4</v>
      </c>
      <c r="I18" s="13">
        <v>2</v>
      </c>
      <c r="J18" s="13">
        <v>3</v>
      </c>
      <c r="K18" s="13">
        <v>4</v>
      </c>
      <c r="L18" s="13">
        <v>3</v>
      </c>
      <c r="M18" s="13">
        <v>3</v>
      </c>
      <c r="N18" s="13">
        <v>4</v>
      </c>
      <c r="O18" s="13">
        <v>3</v>
      </c>
      <c r="P18" s="14">
        <v>4</v>
      </c>
      <c r="Q18">
        <f t="shared" si="0"/>
        <v>39</v>
      </c>
      <c r="R18">
        <f t="shared" si="1"/>
        <v>3.25</v>
      </c>
      <c r="S18">
        <f t="shared" si="2"/>
        <v>4.8</v>
      </c>
      <c r="T18" s="5">
        <f t="shared" si="3"/>
        <v>15.6</v>
      </c>
    </row>
    <row r="19" spans="1:20" ht="27" thickBot="1" x14ac:dyDescent="0.35">
      <c r="A19" s="15" t="s">
        <v>158</v>
      </c>
      <c r="B19" s="16" t="s">
        <v>73</v>
      </c>
      <c r="C19" s="17">
        <v>2025</v>
      </c>
      <c r="D19" s="16" t="s">
        <v>6</v>
      </c>
      <c r="E19" s="17">
        <v>4</v>
      </c>
      <c r="F19" s="17">
        <v>4</v>
      </c>
      <c r="G19" s="17">
        <v>3</v>
      </c>
      <c r="H19" s="17">
        <v>2</v>
      </c>
      <c r="I19" s="17">
        <v>4</v>
      </c>
      <c r="J19" s="17">
        <v>4</v>
      </c>
      <c r="K19" s="17">
        <v>4</v>
      </c>
      <c r="L19" s="17">
        <v>4</v>
      </c>
      <c r="M19" s="17">
        <v>4</v>
      </c>
      <c r="N19" s="17">
        <v>2</v>
      </c>
      <c r="O19" s="17">
        <v>4</v>
      </c>
      <c r="P19" s="18">
        <v>4</v>
      </c>
      <c r="Q19">
        <f t="shared" si="0"/>
        <v>43</v>
      </c>
      <c r="R19">
        <f t="shared" si="1"/>
        <v>3.5833333333333335</v>
      </c>
      <c r="S19">
        <f t="shared" si="2"/>
        <v>6.2</v>
      </c>
      <c r="T19" s="5">
        <f t="shared" si="3"/>
        <v>22.216666666666669</v>
      </c>
    </row>
    <row r="20" spans="1:20" ht="53.4" thickBot="1" x14ac:dyDescent="0.35">
      <c r="A20" s="11" t="s">
        <v>159</v>
      </c>
      <c r="B20" s="12" t="s">
        <v>89</v>
      </c>
      <c r="C20" s="13">
        <v>2025</v>
      </c>
      <c r="D20" s="12" t="s">
        <v>6</v>
      </c>
      <c r="E20" s="13">
        <v>2</v>
      </c>
      <c r="F20" s="13">
        <v>2</v>
      </c>
      <c r="G20" s="13">
        <v>3</v>
      </c>
      <c r="H20" s="13">
        <v>3</v>
      </c>
      <c r="I20" s="13">
        <v>3</v>
      </c>
      <c r="J20" s="13">
        <v>3</v>
      </c>
      <c r="K20" s="13">
        <v>4</v>
      </c>
      <c r="L20" s="13">
        <v>2</v>
      </c>
      <c r="M20" s="13">
        <v>2</v>
      </c>
      <c r="N20" s="13">
        <v>1</v>
      </c>
      <c r="O20" s="13">
        <v>2</v>
      </c>
      <c r="P20" s="14">
        <v>2</v>
      </c>
      <c r="Q20">
        <f t="shared" si="0"/>
        <v>29</v>
      </c>
      <c r="R20">
        <f t="shared" si="1"/>
        <v>2.4166666666666665</v>
      </c>
      <c r="S20">
        <f t="shared" si="2"/>
        <v>6.2</v>
      </c>
      <c r="T20" s="5">
        <f t="shared" si="3"/>
        <v>14.983333333333333</v>
      </c>
    </row>
    <row r="21" spans="1:20" ht="40.200000000000003" thickBot="1" x14ac:dyDescent="0.35">
      <c r="A21" s="15" t="s">
        <v>160</v>
      </c>
      <c r="B21" s="16" t="s">
        <v>11</v>
      </c>
      <c r="C21" s="17">
        <v>2024</v>
      </c>
      <c r="D21" s="16" t="s">
        <v>5</v>
      </c>
      <c r="E21" s="17">
        <v>2</v>
      </c>
      <c r="F21" s="17">
        <v>3</v>
      </c>
      <c r="G21" s="17">
        <v>3</v>
      </c>
      <c r="H21" s="17">
        <v>3</v>
      </c>
      <c r="I21" s="17">
        <v>3</v>
      </c>
      <c r="J21" s="17">
        <v>2</v>
      </c>
      <c r="K21" s="17">
        <v>3</v>
      </c>
      <c r="L21" s="17">
        <v>3</v>
      </c>
      <c r="M21" s="17">
        <v>3</v>
      </c>
      <c r="N21" s="17">
        <v>3</v>
      </c>
      <c r="O21" s="17">
        <v>3</v>
      </c>
      <c r="P21" s="18">
        <v>3</v>
      </c>
      <c r="Q21">
        <f t="shared" si="0"/>
        <v>34</v>
      </c>
      <c r="R21">
        <f t="shared" si="1"/>
        <v>2.8333333333333335</v>
      </c>
      <c r="S21">
        <f t="shared" si="2"/>
        <v>4.8</v>
      </c>
      <c r="T21" s="5">
        <f t="shared" si="3"/>
        <v>13.6</v>
      </c>
    </row>
    <row r="22" spans="1:20" ht="53.4" thickBot="1" x14ac:dyDescent="0.35">
      <c r="A22" s="11" t="s">
        <v>161</v>
      </c>
      <c r="B22" s="12" t="s">
        <v>117</v>
      </c>
      <c r="C22" s="13">
        <v>2025</v>
      </c>
      <c r="D22" s="12" t="s">
        <v>6</v>
      </c>
      <c r="E22" s="13">
        <v>3</v>
      </c>
      <c r="F22" s="13">
        <v>4</v>
      </c>
      <c r="G22" s="13">
        <v>4</v>
      </c>
      <c r="H22" s="13">
        <v>3</v>
      </c>
      <c r="I22" s="13">
        <v>3</v>
      </c>
      <c r="J22" s="13">
        <v>4</v>
      </c>
      <c r="K22" s="13">
        <v>4</v>
      </c>
      <c r="L22" s="13">
        <v>4</v>
      </c>
      <c r="M22" s="13">
        <v>4</v>
      </c>
      <c r="N22" s="13">
        <v>3</v>
      </c>
      <c r="O22" s="13">
        <v>4</v>
      </c>
      <c r="P22" s="14">
        <v>4</v>
      </c>
      <c r="Q22">
        <f t="shared" si="0"/>
        <v>44</v>
      </c>
      <c r="R22">
        <f t="shared" si="1"/>
        <v>3.6666666666666665</v>
      </c>
      <c r="S22">
        <f t="shared" si="2"/>
        <v>6.2</v>
      </c>
      <c r="T22" s="5">
        <f t="shared" si="3"/>
        <v>22.733333333333334</v>
      </c>
    </row>
    <row r="23" spans="1:20" ht="53.4" thickBot="1" x14ac:dyDescent="0.35">
      <c r="A23" s="15" t="s">
        <v>162</v>
      </c>
      <c r="B23" s="16" t="s">
        <v>97</v>
      </c>
      <c r="C23" s="17">
        <v>2025</v>
      </c>
      <c r="D23" s="16" t="s">
        <v>6</v>
      </c>
      <c r="E23" s="17">
        <v>3</v>
      </c>
      <c r="F23" s="17">
        <v>3</v>
      </c>
      <c r="G23" s="17">
        <v>3</v>
      </c>
      <c r="H23" s="17">
        <v>3</v>
      </c>
      <c r="I23" s="17">
        <v>3</v>
      </c>
      <c r="J23" s="17">
        <v>3</v>
      </c>
      <c r="K23" s="17">
        <v>3</v>
      </c>
      <c r="L23" s="17">
        <v>3</v>
      </c>
      <c r="M23" s="17">
        <v>3</v>
      </c>
      <c r="N23" s="17">
        <v>3</v>
      </c>
      <c r="O23" s="17">
        <v>3</v>
      </c>
      <c r="P23" s="18">
        <v>3</v>
      </c>
      <c r="Q23">
        <f t="shared" si="0"/>
        <v>36</v>
      </c>
      <c r="R23">
        <f t="shared" si="1"/>
        <v>3</v>
      </c>
      <c r="S23">
        <f t="shared" si="2"/>
        <v>6.2</v>
      </c>
      <c r="T23" s="5">
        <f t="shared" si="3"/>
        <v>18.600000000000001</v>
      </c>
    </row>
    <row r="24" spans="1:20" ht="40.200000000000003" thickBot="1" x14ac:dyDescent="0.35">
      <c r="A24" s="11" t="s">
        <v>163</v>
      </c>
      <c r="B24" s="12" t="s">
        <v>15</v>
      </c>
      <c r="C24" s="13">
        <v>2024</v>
      </c>
      <c r="D24" s="12" t="s">
        <v>5</v>
      </c>
      <c r="E24" s="13">
        <v>3</v>
      </c>
      <c r="F24" s="13">
        <v>2</v>
      </c>
      <c r="G24" s="13">
        <v>2</v>
      </c>
      <c r="H24" s="13">
        <v>2</v>
      </c>
      <c r="I24" s="13">
        <v>2</v>
      </c>
      <c r="J24" s="13">
        <v>3</v>
      </c>
      <c r="K24" s="13">
        <v>3</v>
      </c>
      <c r="L24" s="13">
        <v>3</v>
      </c>
      <c r="M24" s="13">
        <v>3</v>
      </c>
      <c r="N24" s="13">
        <v>3</v>
      </c>
      <c r="O24" s="13">
        <v>3</v>
      </c>
      <c r="P24" s="14">
        <v>3</v>
      </c>
      <c r="Q24">
        <f t="shared" si="0"/>
        <v>32</v>
      </c>
      <c r="R24">
        <f t="shared" si="1"/>
        <v>2.6666666666666665</v>
      </c>
      <c r="S24">
        <f t="shared" si="2"/>
        <v>4.8</v>
      </c>
      <c r="T24" s="5">
        <f t="shared" si="3"/>
        <v>12.799999999999999</v>
      </c>
    </row>
    <row r="25" spans="1:20" ht="27" thickBot="1" x14ac:dyDescent="0.35">
      <c r="A25" s="15" t="s">
        <v>164</v>
      </c>
      <c r="B25" s="16" t="s">
        <v>95</v>
      </c>
      <c r="C25" s="17">
        <v>2025</v>
      </c>
      <c r="D25" s="16" t="s">
        <v>6</v>
      </c>
      <c r="E25" s="17">
        <v>4</v>
      </c>
      <c r="F25" s="17">
        <v>4</v>
      </c>
      <c r="G25" s="17">
        <v>3</v>
      </c>
      <c r="H25" s="17">
        <v>4</v>
      </c>
      <c r="I25" s="17">
        <v>4</v>
      </c>
      <c r="J25" s="17">
        <v>3</v>
      </c>
      <c r="K25" s="17">
        <v>4</v>
      </c>
      <c r="L25" s="17">
        <v>4</v>
      </c>
      <c r="M25" s="17">
        <v>3</v>
      </c>
      <c r="N25" s="17">
        <v>3</v>
      </c>
      <c r="O25" s="17">
        <v>4</v>
      </c>
      <c r="P25" s="18">
        <v>4</v>
      </c>
      <c r="Q25">
        <f t="shared" si="0"/>
        <v>44</v>
      </c>
      <c r="R25">
        <f t="shared" si="1"/>
        <v>3.6666666666666665</v>
      </c>
      <c r="S25">
        <f t="shared" si="2"/>
        <v>6.2</v>
      </c>
      <c r="T25" s="5">
        <f t="shared" si="3"/>
        <v>22.733333333333334</v>
      </c>
    </row>
    <row r="26" spans="1:20" ht="27" thickBot="1" x14ac:dyDescent="0.35">
      <c r="A26" s="11" t="s">
        <v>165</v>
      </c>
      <c r="B26" s="12" t="s">
        <v>101</v>
      </c>
      <c r="C26" s="13">
        <v>2025</v>
      </c>
      <c r="D26" s="12" t="s">
        <v>6</v>
      </c>
      <c r="E26" s="13">
        <v>3</v>
      </c>
      <c r="F26" s="13">
        <v>3</v>
      </c>
      <c r="G26" s="13">
        <v>3</v>
      </c>
      <c r="H26" s="13">
        <v>2</v>
      </c>
      <c r="I26" s="13">
        <v>3</v>
      </c>
      <c r="J26" s="13">
        <v>4</v>
      </c>
      <c r="K26" s="13">
        <v>4</v>
      </c>
      <c r="L26" s="13">
        <v>3</v>
      </c>
      <c r="M26" s="13">
        <v>3</v>
      </c>
      <c r="N26" s="13">
        <v>3</v>
      </c>
      <c r="O26" s="13">
        <v>3</v>
      </c>
      <c r="P26" s="14">
        <v>3</v>
      </c>
      <c r="Q26">
        <f t="shared" si="0"/>
        <v>37</v>
      </c>
      <c r="R26">
        <f t="shared" si="1"/>
        <v>3.0833333333333335</v>
      </c>
      <c r="S26">
        <f t="shared" si="2"/>
        <v>6.2</v>
      </c>
      <c r="T26" s="5">
        <f t="shared" si="3"/>
        <v>19.116666666666667</v>
      </c>
    </row>
    <row r="27" spans="1:20" ht="27" thickBot="1" x14ac:dyDescent="0.35">
      <c r="A27" s="15" t="s">
        <v>166</v>
      </c>
      <c r="B27" s="16" t="s">
        <v>107</v>
      </c>
      <c r="C27" s="17">
        <v>2025</v>
      </c>
      <c r="D27" s="16" t="s">
        <v>6</v>
      </c>
      <c r="E27" s="17">
        <v>3</v>
      </c>
      <c r="F27" s="17">
        <v>3</v>
      </c>
      <c r="G27" s="17">
        <v>3</v>
      </c>
      <c r="H27" s="17">
        <v>3</v>
      </c>
      <c r="I27" s="17">
        <v>3</v>
      </c>
      <c r="J27" s="17">
        <v>3</v>
      </c>
      <c r="K27" s="17">
        <v>3</v>
      </c>
      <c r="L27" s="17">
        <v>3</v>
      </c>
      <c r="M27" s="17">
        <v>3</v>
      </c>
      <c r="N27" s="17">
        <v>3</v>
      </c>
      <c r="O27" s="17">
        <v>3</v>
      </c>
      <c r="P27" s="18">
        <v>3</v>
      </c>
      <c r="Q27">
        <f t="shared" si="0"/>
        <v>36</v>
      </c>
      <c r="R27">
        <f t="shared" si="1"/>
        <v>3</v>
      </c>
      <c r="S27">
        <f t="shared" si="2"/>
        <v>6.2</v>
      </c>
      <c r="T27" s="5">
        <f t="shared" si="3"/>
        <v>18.600000000000001</v>
      </c>
    </row>
    <row r="28" spans="1:20" ht="27" thickBot="1" x14ac:dyDescent="0.35">
      <c r="A28" s="11" t="s">
        <v>167</v>
      </c>
      <c r="B28" s="12" t="s">
        <v>103</v>
      </c>
      <c r="C28" s="13">
        <v>2025</v>
      </c>
      <c r="D28" s="12" t="s">
        <v>6</v>
      </c>
      <c r="E28" s="13">
        <v>3</v>
      </c>
      <c r="F28" s="13">
        <v>3</v>
      </c>
      <c r="G28" s="13">
        <v>3</v>
      </c>
      <c r="H28" s="13">
        <v>4</v>
      </c>
      <c r="I28" s="13">
        <v>2</v>
      </c>
      <c r="J28" s="13">
        <v>2</v>
      </c>
      <c r="K28" s="13">
        <v>2</v>
      </c>
      <c r="L28" s="13">
        <v>3</v>
      </c>
      <c r="M28" s="13">
        <v>2</v>
      </c>
      <c r="N28" s="13">
        <v>4</v>
      </c>
      <c r="O28" s="13">
        <v>4</v>
      </c>
      <c r="P28" s="14">
        <v>3</v>
      </c>
      <c r="Q28">
        <f t="shared" si="0"/>
        <v>35</v>
      </c>
      <c r="R28">
        <f t="shared" si="1"/>
        <v>2.9166666666666665</v>
      </c>
      <c r="S28">
        <f t="shared" si="2"/>
        <v>6.2</v>
      </c>
      <c r="T28" s="5">
        <f t="shared" si="3"/>
        <v>18.083333333333332</v>
      </c>
    </row>
    <row r="29" spans="1:20" ht="53.4" thickBot="1" x14ac:dyDescent="0.35">
      <c r="A29" s="15" t="s">
        <v>168</v>
      </c>
      <c r="B29" s="16" t="s">
        <v>111</v>
      </c>
      <c r="C29" s="17">
        <v>2025</v>
      </c>
      <c r="D29" s="16" t="s">
        <v>6</v>
      </c>
      <c r="E29" s="17">
        <v>3</v>
      </c>
      <c r="F29" s="17">
        <v>2</v>
      </c>
      <c r="G29" s="17">
        <v>2</v>
      </c>
      <c r="H29" s="17">
        <v>2</v>
      </c>
      <c r="I29" s="17">
        <v>3</v>
      </c>
      <c r="J29" s="17">
        <v>3</v>
      </c>
      <c r="K29" s="17">
        <v>3</v>
      </c>
      <c r="L29" s="17">
        <v>3</v>
      </c>
      <c r="M29" s="17">
        <v>3</v>
      </c>
      <c r="N29" s="17">
        <v>3</v>
      </c>
      <c r="O29" s="17">
        <v>3</v>
      </c>
      <c r="P29" s="18">
        <v>3</v>
      </c>
      <c r="Q29">
        <f t="shared" si="0"/>
        <v>33</v>
      </c>
      <c r="R29">
        <f t="shared" si="1"/>
        <v>2.75</v>
      </c>
      <c r="S29">
        <f t="shared" si="2"/>
        <v>6.2</v>
      </c>
      <c r="T29" s="5">
        <f t="shared" si="3"/>
        <v>17.05</v>
      </c>
    </row>
    <row r="30" spans="1:20" ht="79.8" thickBot="1" x14ac:dyDescent="0.35">
      <c r="A30" s="11" t="s">
        <v>94</v>
      </c>
      <c r="B30" s="12" t="s">
        <v>93</v>
      </c>
      <c r="C30" s="13">
        <v>2025</v>
      </c>
      <c r="D30" s="12" t="s">
        <v>6</v>
      </c>
      <c r="E30" s="13">
        <v>4</v>
      </c>
      <c r="F30" s="13">
        <v>3</v>
      </c>
      <c r="G30" s="13">
        <v>3</v>
      </c>
      <c r="H30" s="13">
        <v>2</v>
      </c>
      <c r="I30" s="13">
        <v>3</v>
      </c>
      <c r="J30" s="13">
        <v>3</v>
      </c>
      <c r="K30" s="13">
        <v>3</v>
      </c>
      <c r="L30" s="13">
        <v>3</v>
      </c>
      <c r="M30" s="13">
        <v>3</v>
      </c>
      <c r="N30" s="13">
        <v>3</v>
      </c>
      <c r="O30" s="13">
        <v>3</v>
      </c>
      <c r="P30" s="14">
        <v>4</v>
      </c>
      <c r="Q30">
        <f t="shared" si="0"/>
        <v>37</v>
      </c>
      <c r="R30">
        <f t="shared" si="1"/>
        <v>3.0833333333333335</v>
      </c>
      <c r="S30">
        <f t="shared" si="2"/>
        <v>6.2</v>
      </c>
      <c r="T30" s="5">
        <f>R30*S30</f>
        <v>19.116666666666667</v>
      </c>
    </row>
    <row r="31" spans="1:20" ht="40.200000000000003" thickBot="1" x14ac:dyDescent="0.35">
      <c r="A31" s="19" t="s">
        <v>169</v>
      </c>
      <c r="B31" s="20" t="s">
        <v>71</v>
      </c>
      <c r="C31" s="21">
        <v>2025</v>
      </c>
      <c r="D31" s="20" t="s">
        <v>6</v>
      </c>
      <c r="E31" s="21">
        <v>3</v>
      </c>
      <c r="F31" s="21">
        <v>3</v>
      </c>
      <c r="G31" s="21">
        <v>3</v>
      </c>
      <c r="H31" s="21">
        <v>3</v>
      </c>
      <c r="I31" s="21">
        <v>3</v>
      </c>
      <c r="J31" s="21">
        <v>3</v>
      </c>
      <c r="K31" s="21">
        <v>3</v>
      </c>
      <c r="L31" s="21">
        <v>3</v>
      </c>
      <c r="M31" s="21">
        <v>3</v>
      </c>
      <c r="N31" s="21">
        <v>3</v>
      </c>
      <c r="O31" s="21">
        <v>3</v>
      </c>
      <c r="P31" s="22">
        <v>3</v>
      </c>
      <c r="Q31">
        <f t="shared" si="0"/>
        <v>36</v>
      </c>
      <c r="R31">
        <f t="shared" si="1"/>
        <v>3</v>
      </c>
      <c r="S31">
        <f t="shared" si="2"/>
        <v>6.2</v>
      </c>
      <c r="T31" s="5">
        <f t="shared" si="3"/>
        <v>18.600000000000001</v>
      </c>
    </row>
    <row r="33" spans="5:5" x14ac:dyDescent="0.3">
      <c r="E3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RANDOM KELAS</vt:lpstr>
      <vt:lpstr>MAHASISWA 24 A DAN 25 B</vt:lpstr>
      <vt:lpstr>RANDOM 24 A</vt:lpstr>
      <vt:lpstr>RANDOM 25 B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nilai_komponen_evaluasi_ST231406_ST232015_492011</dc:title>
  <dc:subject/>
  <dc:creator>Universitas Mataram</dc:creator>
  <cp:keywords/>
  <dc:description/>
  <cp:lastModifiedBy>asusgaming-k16@outlook.com</cp:lastModifiedBy>
  <dcterms:created xsi:type="dcterms:W3CDTF">2026-03-30T02:04:19Z</dcterms:created>
  <dcterms:modified xsi:type="dcterms:W3CDTF">2026-07-02T17:03:38Z</dcterms:modified>
  <cp:category/>
</cp:coreProperties>
</file>